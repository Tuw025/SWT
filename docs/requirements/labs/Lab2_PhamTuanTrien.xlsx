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ì 5\SWT\Labs\Lab2-WritingUnitTestCase\"/>
    </mc:Choice>
  </mc:AlternateContent>
  <xr:revisionPtr revIDLastSave="0" documentId="13_ncr:1_{FFE5E710-C75F-4B95-8C37-E68D218DDC1C}" xr6:coauthVersionLast="47" xr6:coauthVersionMax="47" xr10:uidLastSave="{00000000-0000-0000-0000-000000000000}"/>
  <bookViews>
    <workbookView xWindow="2340" yWindow="2340" windowWidth="21600" windowHeight="11295" firstSheet="2" activeTab="4" xr2:uid="{00000000-000D-0000-FFFF-FFFF00000000}"/>
  </bookViews>
  <sheets>
    <sheet name="Guidleline" sheetId="1" r:id="rId1"/>
    <sheet name="Cover" sheetId="4" r:id="rId2"/>
    <sheet name="FunctionList" sheetId="5" r:id="rId3"/>
    <sheet name="Test Report" sheetId="6" r:id="rId4"/>
    <sheet name="CheckDate" sheetId="7" r:id="rId5"/>
    <sheet name="DayInMonth" sheetId="10" r:id="rId6"/>
    <sheet name="Function3" sheetId="11" r:id="rId7"/>
    <sheet name="Example" sheetId="12" r:id="rId8"/>
  </sheets>
  <definedNames>
    <definedName name="ACTION">#REF!</definedName>
    <definedName name="_xlnm.Print_Area" localSheetId="4">CheckDate!$A$1:$T$66</definedName>
    <definedName name="_xlnm.Print_Area" localSheetId="5">DayInMonth!$A$1:$T$59</definedName>
    <definedName name="_xlnm.Print_Area" localSheetId="6">Function3!$A$1:$T$53</definedName>
    <definedName name="_xlnm.Print_Area" localSheetId="2">FunctionList!$A$1:$H$39</definedName>
    <definedName name="_xlnm.Print_Area" localSheetId="0">Guidleline!$A$1:$A$48</definedName>
    <definedName name="_xlnm.Print_Area" localSheetId="3">'Test Report'!$A$1:$I$41</definedName>
    <definedName name="Z_2C0D9096_8D85_462A_A9B5_0B488ADB4269_.wvu.Cols" localSheetId="4" hidden="1">CheckDate!$E:$E</definedName>
    <definedName name="Z_2C0D9096_8D85_462A_A9B5_0B488ADB4269_.wvu.Cols" localSheetId="5" hidden="1">DayInMonth!$E:$E</definedName>
    <definedName name="Z_2C0D9096_8D85_462A_A9B5_0B488ADB4269_.wvu.Cols" localSheetId="6" hidden="1">Function3!$E:$E</definedName>
    <definedName name="Z_2C0D9096_8D85_462A_A9B5_0B488ADB4269_.wvu.PrintArea" localSheetId="3" hidden="1">'Test Report'!$A:$I</definedName>
    <definedName name="Z_6F1DCD5D_5DAC_4817_BF40_2B66F6F593E6_.wvu.Cols" localSheetId="4" hidden="1">CheckDate!$E:$E</definedName>
    <definedName name="Z_6F1DCD5D_5DAC_4817_BF40_2B66F6F593E6_.wvu.Cols" localSheetId="5" hidden="1">DayInMonth!$E:$E</definedName>
    <definedName name="Z_6F1DCD5D_5DAC_4817_BF40_2B66F6F593E6_.wvu.Cols" localSheetId="6" hidden="1">Function3!$E:$E</definedName>
    <definedName name="Z_6F1DCD5D_5DAC_4817_BF40_2B66F6F593E6_.wvu.PrintArea" localSheetId="3" hidden="1">'Test Report'!$A:$I</definedName>
    <definedName name="Z_BE54E0AD_3725_4423_92D7_4F1C045BE1BC_.wvu.Cols" localSheetId="4" hidden="1">CheckDate!$E:$E</definedName>
    <definedName name="Z_BE54E0AD_3725_4423_92D7_4F1C045BE1BC_.wvu.Cols" localSheetId="5" hidden="1">DayInMonth!$E:$E</definedName>
    <definedName name="Z_BE54E0AD_3725_4423_92D7_4F1C045BE1BC_.wvu.Cols" localSheetId="6" hidden="1">Function3!$E:$E</definedName>
    <definedName name="Z_BE54E0AD_3725_4423_92D7_4F1C045BE1BC_.wvu.PrintArea" localSheetId="3" hidden="1">'Test Report'!$A:$I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2" l="1"/>
  <c r="L2" i="12"/>
  <c r="A7" i="12"/>
  <c r="F7" i="12" s="1"/>
  <c r="C7" i="12"/>
  <c r="L7" i="12"/>
  <c r="M7" i="12"/>
  <c r="N7" i="12"/>
  <c r="O7" i="12"/>
  <c r="L4" i="12"/>
  <c r="C2" i="11"/>
  <c r="L2" i="11"/>
  <c r="A7" i="11"/>
  <c r="C14" i="6" s="1"/>
  <c r="C7" i="11"/>
  <c r="D14" i="6" s="1"/>
  <c r="L7" i="11"/>
  <c r="F14" i="6" s="1"/>
  <c r="M7" i="11"/>
  <c r="G14" i="6" s="1"/>
  <c r="N7" i="11"/>
  <c r="H14" i="6" s="1"/>
  <c r="O7" i="11"/>
  <c r="L4" i="11"/>
  <c r="C2" i="10"/>
  <c r="L2" i="10"/>
  <c r="A7" i="10"/>
  <c r="F7" i="10" s="1"/>
  <c r="E13" i="6" s="1"/>
  <c r="C7" i="10"/>
  <c r="D13" i="6" s="1"/>
  <c r="L7" i="10"/>
  <c r="F13" i="6" s="1"/>
  <c r="M7" i="10"/>
  <c r="G13" i="6" s="1"/>
  <c r="N7" i="10"/>
  <c r="H13" i="6" s="1"/>
  <c r="O7" i="10"/>
  <c r="I13" i="6"/>
  <c r="C2" i="7"/>
  <c r="L2" i="7"/>
  <c r="A7" i="7"/>
  <c r="F7" i="7" s="1"/>
  <c r="E12" i="6" s="1"/>
  <c r="C7" i="7"/>
  <c r="D12" i="6" s="1"/>
  <c r="D17" i="6" s="1"/>
  <c r="L7" i="7"/>
  <c r="F12" i="6" s="1"/>
  <c r="M7" i="7"/>
  <c r="G12" i="6" s="1"/>
  <c r="N7" i="7"/>
  <c r="H12" i="6" s="1"/>
  <c r="O7" i="7"/>
  <c r="L4" i="7" s="1"/>
  <c r="I12" i="6"/>
  <c r="I17" i="6" s="1"/>
  <c r="B4" i="6"/>
  <c r="B5" i="6"/>
  <c r="B6" i="6" s="1"/>
  <c r="E4" i="5"/>
  <c r="E5" i="5"/>
  <c r="B6" i="4"/>
  <c r="I14" i="6"/>
  <c r="L4" i="10"/>
  <c r="H17" i="6" l="1"/>
  <c r="D23" i="6" s="1"/>
  <c r="G17" i="6"/>
  <c r="D22" i="6" s="1"/>
  <c r="F17" i="6"/>
  <c r="D21" i="6" s="1"/>
  <c r="C12" i="6"/>
  <c r="F7" i="11"/>
  <c r="E14" i="6" s="1"/>
  <c r="E17" i="6" s="1"/>
  <c r="C13" i="6"/>
  <c r="C17" i="6" l="1"/>
  <c r="D19" i="6" l="1"/>
  <c r="D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4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6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<sst xmlns="http://schemas.openxmlformats.org/spreadsheetml/2006/main" count="581" uniqueCount="183">
  <si>
    <t>UNIT 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</si>
  <si>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</si>
  <si>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</si>
  <si>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</si>
  <si>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</si>
  <si>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</si>
  <si>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</si>
  <si>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</si>
  <si>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</si>
  <si>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</si>
  <si>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</si>
  <si>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</si>
  <si>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</si>
  <si>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</si>
  <si>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</si>
  <si>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</si>
  <si>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</si>
  <si>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</si>
  <si>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</si>
  <si>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</si>
  <si>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</si>
  <si>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</si>
  <si>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</si>
  <si>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</si>
  <si>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</si>
  <si>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</si>
  <si>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</si>
  <si>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</si>
  <si>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</si>
  <si>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</si>
  <si>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</si>
  <si>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</si>
  <si>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</si>
  <si>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</si>
  <si>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</si>
  <si>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</si>
  <si>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</si>
  <si>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</si>
  <si>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</si>
  <si>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</si>
  <si>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</si>
  <si>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</si>
  <si>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</si>
  <si>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</si>
  <si>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</si>
  <si>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</si>
  <si>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</si>
  <si>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</si>
  <si>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</si>
  <si>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</si>
  <si>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</si>
  <si>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</si>
  <si>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</si>
  <si>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</si>
  <si>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</si>
  <si>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</si>
  <si>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</si>
  <si>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</si>
  <si>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</si>
  <si>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</si>
  <si>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</si>
  <si>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</si>
  <si>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</si>
  <si>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</si>
  <si>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</si>
  <si>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</si>
  <si>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</si>
  <si>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</si>
  <si>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</si>
  <si>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</si>
  <si>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</si>
  <si>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</si>
  <si>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</si>
  <si>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</si>
  <si>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</si>
  <si>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</si>
  <si>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</si>
  <si>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</si>
  <si>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</si>
  <si>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</si>
  <si>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</si>
  <si>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</si>
  <si>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</si>
  <si>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</si>
  <si>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</si>
  <si>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</si>
  <si>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</si>
  <si>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</si>
  <si>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</si>
  <si>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</si>
  <si>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</si>
  <si>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</si>
  <si>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</si>
  <si>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</si>
  <si>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</si>
  <si>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</si>
  <si>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</si>
  <si>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</si>
  <si>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</si>
  <si>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4" type="noConversion"/>
  </si>
  <si>
    <t>Exception</t>
    <phoneticPr fontId="34" type="noConversion"/>
  </si>
  <si>
    <t>Log message</t>
    <phoneticPr fontId="34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</si>
  <si>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</si>
  <si>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</si>
  <si>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</si>
  <si>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</si>
  <si>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</si>
  <si>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</si>
  <si>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</si>
  <si>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</si>
  <si>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</si>
  <si>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</si>
  <si>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</si>
  <si>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</si>
  <si>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</si>
  <si>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</si>
  <si>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</si>
  <si>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</si>
  <si>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>Class2</t>
  </si>
  <si>
    <t>Class3</t>
  </si>
  <si>
    <t>Function C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</si>
  <si>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</si>
  <si>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</si>
  <si>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</si>
  <si>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</si>
  <si>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</si>
  <si>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</si>
  <si>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</si>
  <si>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</si>
  <si>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</si>
  <si>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</si>
  <si>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</si>
  <si>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</si>
  <si>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</si>
  <si>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</si>
  <si>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</si>
  <si>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</si>
  <si>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</si>
  <si>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</si>
  <si>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4" type="noConversion"/>
  </si>
  <si>
    <t>b</t>
    <phoneticPr fontId="34" type="noConversion"/>
  </si>
  <si>
    <t>c</t>
    <phoneticPr fontId="44"/>
  </si>
  <si>
    <t xml:space="preserve">list </t>
    <phoneticPr fontId="44"/>
  </si>
  <si>
    <t>null</t>
    <phoneticPr fontId="44"/>
  </si>
  <si>
    <t>size = 0</t>
    <phoneticPr fontId="44"/>
  </si>
  <si>
    <t>O</t>
  </si>
  <si>
    <t>"please input a&gt;= -1"</t>
    <phoneticPr fontId="44"/>
  </si>
  <si>
    <t>{-1/2}</t>
    <phoneticPr fontId="44"/>
  </si>
  <si>
    <t>{1,1}</t>
    <phoneticPr fontId="44"/>
  </si>
  <si>
    <t>{1,-3}</t>
    <phoneticPr fontId="44"/>
  </si>
  <si>
    <t xml:space="preserve"> Function Code(Optional)</t>
  </si>
  <si>
    <t>Function1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</si>
  <si>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</si>
  <si>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</si>
  <si>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</si>
  <si>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</si>
  <si>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</si>
  <si>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</si>
  <si>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</si>
  <si>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</si>
  <si>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</si>
  <si>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</si>
  <si>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</si>
  <si>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</si>
  <si>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</si>
  <si>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</si>
  <si>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</si>
  <si>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</si>
  <si>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</si>
  <si>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</si>
  <si>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</si>
  <si>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</si>
  <si>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</si>
  <si>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</si>
  <si>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</si>
  <si>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</si>
  <si>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</si>
  <si>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Month</t>
  </si>
  <si>
    <t>Year</t>
  </si>
  <si>
    <t>T</t>
  </si>
  <si>
    <t>Day</t>
  </si>
  <si>
    <t>DFID001</t>
  </si>
  <si>
    <t>UTCID16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</si>
</sst>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08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 applyAlignment="1"/>
    <xf numFmtId="0" fontId="26" fillId="0" borderId="0" xfId="41" applyFont="1" applyBorder="1" applyAlignment="1">
      <alignment horizontal="left"/>
    </xf>
    <xf numFmtId="0" fontId="24" fillId="0" borderId="0" xfId="41" applyFont="1" applyBorder="1" applyAlignment="1"/>
    <xf numFmtId="0" fontId="25" fillId="0" borderId="0" xfId="41" applyFont="1" applyFill="1" applyBorder="1" applyAlignment="1">
      <alignment horizontal="left" indent="1"/>
    </xf>
    <xf numFmtId="0" fontId="26" fillId="0" borderId="0" xfId="41" applyFont="1" applyBorder="1" applyAlignment="1">
      <alignment horizontal="left" indent="1"/>
    </xf>
    <xf numFmtId="0" fontId="24" fillId="0" borderId="0" xfId="41" applyFont="1" applyFill="1"/>
    <xf numFmtId="0" fontId="24" fillId="0" borderId="0" xfId="41" applyFont="1" applyBorder="1"/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6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6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 applyBorder="1" applyAlignment="1"/>
    <xf numFmtId="0" fontId="24" fillId="24" borderId="0" xfId="41" applyFont="1" applyFill="1" applyBorder="1" applyAlignment="1"/>
    <xf numFmtId="0" fontId="24" fillId="24" borderId="0" xfId="41" applyFont="1" applyFill="1" applyBorder="1" applyAlignment="1">
      <alignment wrapText="1"/>
    </xf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64" fontId="24" fillId="24" borderId="0" xfId="38" applyNumberFormat="1" applyFont="1" applyFill="1" applyBorder="1"/>
    <xf numFmtId="0" fontId="25" fillId="24" borderId="0" xfId="41" applyFont="1" applyFill="1"/>
    <xf numFmtId="0" fontId="26" fillId="24" borderId="0" xfId="38" applyFont="1" applyFill="1" applyBorder="1"/>
    <xf numFmtId="0" fontId="24" fillId="24" borderId="0" xfId="41" applyFont="1" applyFill="1" applyBorder="1"/>
    <xf numFmtId="0" fontId="27" fillId="25" borderId="21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 wrapText="1"/>
    </xf>
    <xf numFmtId="0" fontId="27" fillId="25" borderId="22" xfId="41" applyNumberFormat="1" applyFont="1" applyFill="1" applyBorder="1" applyAlignment="1">
      <alignment horizontal="center"/>
    </xf>
    <xf numFmtId="0" fontId="27" fillId="25" borderId="25" xfId="41" applyNumberFormat="1" applyFont="1" applyFill="1" applyBorder="1" applyAlignment="1">
      <alignment horizontal="center" wrapText="1"/>
    </xf>
    <xf numFmtId="0" fontId="24" fillId="24" borderId="23" xfId="41" applyNumberFormat="1" applyFont="1" applyFill="1" applyBorder="1" applyAlignment="1">
      <alignment horizontal="center"/>
    </xf>
    <xf numFmtId="0" fontId="24" fillId="24" borderId="15" xfId="41" applyNumberFormat="1" applyFont="1" applyFill="1" applyBorder="1" applyAlignment="1">
      <alignment horizontal="center"/>
    </xf>
    <xf numFmtId="0" fontId="24" fillId="24" borderId="26" xfId="41" applyNumberFormat="1" applyFont="1" applyFill="1" applyBorder="1" applyAlignment="1">
      <alignment horizontal="center"/>
    </xf>
    <xf numFmtId="0" fontId="32" fillId="25" borderId="24" xfId="41" applyNumberFormat="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Border="1" applyAlignment="1">
      <alignment horizontal="center"/>
    </xf>
    <xf numFmtId="10" fontId="24" fillId="24" borderId="0" xfId="41" applyNumberFormat="1" applyFont="1" applyFill="1" applyBorder="1" applyAlignment="1">
      <alignment horizontal="center"/>
    </xf>
    <xf numFmtId="9" fontId="24" fillId="24" borderId="0" xfId="41" applyNumberFormat="1" applyFont="1" applyFill="1" applyBorder="1" applyAlignment="1">
      <alignment horizontal="center"/>
    </xf>
    <xf numFmtId="0" fontId="33" fillId="24" borderId="0" xfId="41" applyFont="1" applyFill="1" applyBorder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 applyFill="1"/>
    <xf numFmtId="49" fontId="35" fillId="0" borderId="0" xfId="41" applyNumberFormat="1" applyFont="1" applyBorder="1"/>
    <xf numFmtId="0" fontId="35" fillId="0" borderId="0" xfId="41" applyFont="1" applyBorder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Border="1" applyAlignment="1">
      <alignment horizontal="right"/>
    </xf>
    <xf numFmtId="0" fontId="35" fillId="0" borderId="0" xfId="41" applyFont="1" applyFill="1" applyBorder="1" applyAlignment="1">
      <alignment vertical="top"/>
    </xf>
    <xf numFmtId="0" fontId="35" fillId="28" borderId="0" xfId="41" applyFont="1" applyFill="1" applyBorder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 applyAlignment="1"/>
    <xf numFmtId="0" fontId="36" fillId="27" borderId="40" xfId="41" applyFont="1" applyFill="1" applyBorder="1" applyAlignment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 applyAlignment="1"/>
    <xf numFmtId="0" fontId="35" fillId="27" borderId="30" xfId="41" applyFont="1" applyFill="1" applyBorder="1" applyAlignment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 applyAlignment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65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 applyFill="1"/>
    <xf numFmtId="49" fontId="35" fillId="0" borderId="0" xfId="42" applyNumberFormat="1" applyFont="1" applyBorder="1"/>
    <xf numFmtId="0" fontId="35" fillId="0" borderId="0" xfId="42" applyFont="1" applyBorder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Border="1" applyAlignment="1">
      <alignment horizontal="right"/>
    </xf>
    <xf numFmtId="0" fontId="35" fillId="0" borderId="0" xfId="42" applyFont="1" applyFill="1" applyBorder="1" applyAlignment="1">
      <alignment vertical="top"/>
    </xf>
    <xf numFmtId="0" fontId="35" fillId="28" borderId="0" xfId="42" applyFont="1" applyFill="1" applyBorder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 applyAlignment="1"/>
    <xf numFmtId="0" fontId="36" fillId="27" borderId="40" xfId="42" applyFont="1" applyFill="1" applyBorder="1" applyAlignment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 applyAlignment="1"/>
    <xf numFmtId="0" fontId="35" fillId="27" borderId="30" xfId="42" applyFont="1" applyFill="1" applyBorder="1" applyAlignment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 applyAlignment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165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 applyAlignment="1"/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24" borderId="43" xfId="41" applyFont="1" applyFill="1" applyBorder="1" applyAlignment="1">
      <alignment horizontal="left"/>
    </xf>
    <xf numFmtId="0" fontId="30" fillId="0" borderId="0" xfId="41" applyFont="1" applyFill="1" applyBorder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51" fillId="27" borderId="30" xfId="41" applyFont="1" applyFill="1" applyBorder="1" applyAlignment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NumberFormat="1" applyFont="1" applyFill="1" applyBorder="1" applyAlignment="1">
      <alignment horizontal="center" vertical="center"/>
    </xf>
    <xf numFmtId="0" fontId="36" fillId="0" borderId="0" xfId="41" applyFont="1" applyBorder="1" applyAlignment="1">
      <alignment horizontal="left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6" fillId="0" borderId="0" xfId="42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Border="1" applyAlignment="1">
      <alignment horizontal="left"/>
    </xf>
    <xf numFmtId="2" fontId="30" fillId="24" borderId="0" xfId="41" applyNumberFormat="1" applyFont="1" applyFill="1" applyBorder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 applyAlignment="1"/>
    <xf numFmtId="0" fontId="35" fillId="27" borderId="32" xfId="41" applyFont="1" applyFill="1" applyBorder="1" applyAlignment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35" fillId="0" borderId="52" xfId="41" applyFont="1" applyFill="1" applyBorder="1" applyAlignment="1">
      <alignment horizontal="left"/>
    </xf>
    <xf numFmtId="0" fontId="55" fillId="0" borderId="0" xfId="41" applyFont="1" applyFill="1" applyBorder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5" fillId="30" borderId="55" xfId="41" applyFont="1" applyFill="1" applyBorder="1" applyAlignment="1">
      <alignment vertical="center"/>
    </xf>
    <xf numFmtId="0" fontId="55" fillId="30" borderId="56" xfId="41" applyFont="1" applyFill="1" applyBorder="1" applyAlignment="1">
      <alignment vertical="top"/>
    </xf>
    <xf numFmtId="165" fontId="35" fillId="0" borderId="57" xfId="41" applyNumberFormat="1" applyFont="1" applyBorder="1" applyAlignment="1">
      <alignment vertical="top" textRotation="255"/>
    </xf>
    <xf numFmtId="0" fontId="55" fillId="30" borderId="58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9" xfId="41" applyFont="1" applyBorder="1" applyAlignment="1">
      <alignment textRotation="255"/>
    </xf>
    <xf numFmtId="0" fontId="55" fillId="30" borderId="55" xfId="41" applyFont="1" applyFill="1" applyBorder="1" applyAlignment="1">
      <alignment vertical="top"/>
    </xf>
    <xf numFmtId="0" fontId="55" fillId="30" borderId="60" xfId="41" applyFont="1" applyFill="1" applyBorder="1" applyAlignment="1">
      <alignment vertical="top"/>
    </xf>
    <xf numFmtId="0" fontId="55" fillId="30" borderId="60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1" xfId="41" applyFont="1" applyFill="1" applyBorder="1"/>
    <xf numFmtId="0" fontId="55" fillId="30" borderId="62" xfId="41" applyFont="1" applyFill="1" applyBorder="1" applyAlignment="1">
      <alignment horizontal="left"/>
    </xf>
    <xf numFmtId="0" fontId="56" fillId="30" borderId="62" xfId="41" applyFont="1" applyFill="1" applyBorder="1"/>
    <xf numFmtId="0" fontId="56" fillId="30" borderId="62" xfId="41" applyFont="1" applyFill="1" applyBorder="1" applyAlignment="1">
      <alignment horizontal="right"/>
    </xf>
    <xf numFmtId="0" fontId="55" fillId="30" borderId="62" xfId="41" applyFont="1" applyFill="1" applyBorder="1" applyAlignment="1">
      <alignment vertical="top" textRotation="180"/>
    </xf>
    <xf numFmtId="0" fontId="55" fillId="30" borderId="63" xfId="41" applyFont="1" applyFill="1" applyBorder="1" applyAlignment="1">
      <alignment vertical="top" textRotation="180"/>
    </xf>
    <xf numFmtId="0" fontId="39" fillId="0" borderId="57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39" fillId="0" borderId="64" xfId="41" applyFont="1" applyBorder="1" applyAlignment="1">
      <alignment horizontal="center"/>
    </xf>
    <xf numFmtId="0" fontId="39" fillId="0" borderId="65" xfId="41" applyFont="1" applyBorder="1" applyAlignment="1">
      <alignment horizontal="center"/>
    </xf>
    <xf numFmtId="0" fontId="41" fillId="0" borderId="66" xfId="41" applyFont="1" applyBorder="1" applyAlignment="1">
      <alignment horizontal="center"/>
    </xf>
    <xf numFmtId="0" fontId="41" fillId="0" borderId="57" xfId="41" applyFont="1" applyBorder="1" applyAlignment="1">
      <alignment horizontal="center"/>
    </xf>
    <xf numFmtId="0" fontId="55" fillId="30" borderId="67" xfId="41" applyFont="1" applyFill="1" applyBorder="1" applyAlignment="1">
      <alignment vertical="top"/>
    </xf>
    <xf numFmtId="164" fontId="27" fillId="25" borderId="68" xfId="41" applyNumberFormat="1" applyFont="1" applyFill="1" applyBorder="1" applyAlignment="1">
      <alignment horizontal="center" vertical="center"/>
    </xf>
    <xf numFmtId="0" fontId="55" fillId="30" borderId="69" xfId="41" applyFont="1" applyFill="1" applyBorder="1" applyAlignment="1">
      <alignment horizontal="left"/>
    </xf>
    <xf numFmtId="0" fontId="56" fillId="30" borderId="69" xfId="41" applyFont="1" applyFill="1" applyBorder="1"/>
    <xf numFmtId="0" fontId="56" fillId="30" borderId="69" xfId="41" applyFont="1" applyFill="1" applyBorder="1" applyAlignment="1">
      <alignment horizontal="right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NumberFormat="1" applyFont="1" applyFill="1" applyBorder="1" applyAlignment="1">
      <alignment horizontal="center" vertical="center"/>
    </xf>
    <xf numFmtId="0" fontId="36" fillId="27" borderId="49" xfId="42" applyFont="1" applyFill="1" applyBorder="1" applyAlignment="1"/>
    <xf numFmtId="0" fontId="35" fillId="27" borderId="32" xfId="42" applyFont="1" applyFill="1" applyBorder="1" applyAlignment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35" fillId="0" borderId="52" xfId="42" applyFont="1" applyFill="1" applyBorder="1" applyAlignment="1">
      <alignment horizontal="left"/>
    </xf>
    <xf numFmtId="0" fontId="41" fillId="0" borderId="52" xfId="42" applyFont="1" applyBorder="1" applyAlignment="1">
      <alignment horizontal="center"/>
    </xf>
    <xf numFmtId="0" fontId="56" fillId="30" borderId="61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0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55" xfId="42" applyFont="1" applyFill="1" applyBorder="1" applyAlignment="1">
      <alignment vertical="center"/>
    </xf>
    <xf numFmtId="0" fontId="39" fillId="0" borderId="59" xfId="42" applyFont="1" applyBorder="1" applyAlignment="1">
      <alignment horizontal="center"/>
    </xf>
    <xf numFmtId="0" fontId="55" fillId="30" borderId="60" xfId="42" applyFont="1" applyFill="1" applyBorder="1" applyAlignment="1">
      <alignment vertical="top"/>
    </xf>
    <xf numFmtId="0" fontId="39" fillId="0" borderId="64" xfId="42" applyFont="1" applyBorder="1" applyAlignment="1">
      <alignment horizontal="center"/>
    </xf>
    <xf numFmtId="0" fontId="55" fillId="30" borderId="55" xfId="42" applyFont="1" applyFill="1" applyBorder="1" applyAlignment="1">
      <alignment vertical="top"/>
    </xf>
    <xf numFmtId="0" fontId="39" fillId="0" borderId="65" xfId="42" applyFont="1" applyBorder="1" applyAlignment="1">
      <alignment horizontal="center"/>
    </xf>
    <xf numFmtId="0" fontId="41" fillId="0" borderId="66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41" fillId="0" borderId="57" xfId="42" applyFont="1" applyBorder="1" applyAlignment="1">
      <alignment horizontal="center"/>
    </xf>
    <xf numFmtId="165" fontId="35" fillId="0" borderId="57" xfId="42" applyNumberFormat="1" applyFont="1" applyBorder="1" applyAlignment="1">
      <alignment vertical="top" textRotation="255"/>
    </xf>
    <xf numFmtId="0" fontId="55" fillId="30" borderId="58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9" xfId="42" applyFont="1" applyBorder="1" applyAlignment="1">
      <alignment textRotation="255"/>
    </xf>
    <xf numFmtId="0" fontId="35" fillId="0" borderId="33" xfId="41" applyFont="1" applyBorder="1" applyAlignment="1">
      <alignment textRotation="255"/>
    </xf>
    <xf numFmtId="0" fontId="35" fillId="28" borderId="39" xfId="41" applyFont="1" applyFill="1" applyBorder="1" applyAlignment="1">
      <alignment horizontal="left"/>
    </xf>
    <xf numFmtId="0" fontId="35" fillId="28" borderId="29" xfId="41" applyFont="1" applyFill="1" applyBorder="1" applyAlignment="1">
      <alignment horizontal="left"/>
    </xf>
    <xf numFmtId="0" fontId="35" fillId="28" borderId="29" xfId="41" applyFont="1" applyFill="1" applyBorder="1"/>
    <xf numFmtId="0" fontId="35" fillId="28" borderId="49" xfId="41" applyFont="1" applyFill="1" applyBorder="1" applyAlignment="1">
      <alignment horizontal="left"/>
    </xf>
    <xf numFmtId="0" fontId="35" fillId="0" borderId="70" xfId="41" applyFont="1" applyFill="1" applyBorder="1" applyAlignment="1">
      <alignment horizontal="left"/>
    </xf>
    <xf numFmtId="0" fontId="37" fillId="0" borderId="29" xfId="41" applyFont="1" applyBorder="1" applyAlignment="1">
      <alignment horizontal="left"/>
    </xf>
    <xf numFmtId="0" fontId="35" fillId="0" borderId="29" xfId="41" applyFont="1" applyBorder="1"/>
    <xf numFmtId="0" fontId="35" fillId="0" borderId="34" xfId="41" applyFont="1" applyBorder="1"/>
    <xf numFmtId="0" fontId="36" fillId="0" borderId="33" xfId="41" applyFont="1" applyBorder="1" applyAlignment="1">
      <alignment horizontal="center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45" fillId="0" borderId="43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0" fontId="23" fillId="24" borderId="0" xfId="38" applyFont="1" applyFill="1" applyBorder="1" applyAlignment="1">
      <alignment horizontal="center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38" applyFont="1" applyFill="1" applyBorder="1" applyAlignment="1">
      <alignment vertical="top"/>
    </xf>
    <xf numFmtId="0" fontId="36" fillId="24" borderId="71" xfId="39" applyFont="1" applyFill="1" applyBorder="1" applyAlignment="1">
      <alignment horizontal="left" wrapText="1"/>
    </xf>
    <xf numFmtId="0" fontId="36" fillId="24" borderId="72" xfId="39" applyFont="1" applyFill="1" applyBorder="1" applyAlignment="1">
      <alignment horizontal="left" wrapText="1"/>
    </xf>
    <xf numFmtId="49" fontId="38" fillId="24" borderId="73" xfId="39" applyNumberFormat="1" applyFont="1" applyFill="1" applyBorder="1" applyAlignment="1">
      <alignment horizontal="left" wrapText="1"/>
    </xf>
    <xf numFmtId="0" fontId="38" fillId="24" borderId="72" xfId="39" applyFont="1" applyFill="1" applyBorder="1" applyAlignment="1">
      <alignment horizontal="left" wrapText="1"/>
    </xf>
    <xf numFmtId="0" fontId="38" fillId="24" borderId="74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0" fontId="36" fillId="24" borderId="76" xfId="39" applyFont="1" applyFill="1" applyBorder="1" applyAlignment="1">
      <alignment horizontal="left" wrapText="1"/>
    </xf>
    <xf numFmtId="0" fontId="35" fillId="0" borderId="33" xfId="41" applyFont="1" applyBorder="1" applyAlignment="1">
      <alignment horizontal="left"/>
    </xf>
    <xf numFmtId="0" fontId="35" fillId="24" borderId="77" xfId="41" applyFont="1" applyFill="1" applyBorder="1" applyAlignment="1">
      <alignment horizontal="center" vertical="center"/>
    </xf>
    <xf numFmtId="0" fontId="35" fillId="24" borderId="78" xfId="41" applyFont="1" applyFill="1" applyBorder="1" applyAlignment="1">
      <alignment horizontal="center" vertical="center"/>
    </xf>
    <xf numFmtId="0" fontId="35" fillId="24" borderId="79" xfId="41" applyFont="1" applyFill="1" applyBorder="1" applyAlignment="1">
      <alignment horizontal="center" vertical="center"/>
    </xf>
    <xf numFmtId="0" fontId="35" fillId="24" borderId="80" xfId="41" applyFont="1" applyFill="1" applyBorder="1" applyAlignment="1">
      <alignment horizontal="center" vertical="center"/>
    </xf>
    <xf numFmtId="0" fontId="35" fillId="24" borderId="81" xfId="41" applyFont="1" applyFill="1" applyBorder="1" applyAlignment="1">
      <alignment horizontal="center" vertical="center"/>
    </xf>
    <xf numFmtId="0" fontId="36" fillId="24" borderId="82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5" fillId="0" borderId="33" xfId="41" applyFont="1" applyBorder="1" applyAlignment="1">
      <alignment horizontal="left" vertical="top"/>
    </xf>
    <xf numFmtId="0" fontId="35" fillId="0" borderId="38" xfId="41" applyFont="1" applyBorder="1" applyAlignment="1">
      <alignment horizontal="left" vertical="top"/>
    </xf>
    <xf numFmtId="0" fontId="35" fillId="0" borderId="52" xfId="41" applyFont="1" applyFill="1" applyBorder="1" applyAlignment="1">
      <alignment horizontal="left"/>
    </xf>
    <xf numFmtId="0" fontId="38" fillId="24" borderId="83" xfId="39" applyFont="1" applyFill="1" applyBorder="1" applyAlignment="1">
      <alignment horizontal="left" wrapText="1"/>
    </xf>
    <xf numFmtId="0" fontId="38" fillId="24" borderId="44" xfId="39" applyFont="1" applyFill="1" applyBorder="1" applyAlignment="1">
      <alignment horizontal="left" wrapText="1"/>
    </xf>
    <xf numFmtId="0" fontId="38" fillId="24" borderId="84" xfId="39" applyFont="1" applyFill="1" applyBorder="1" applyAlignment="1">
      <alignment horizontal="left" wrapText="1"/>
    </xf>
    <xf numFmtId="0" fontId="35" fillId="0" borderId="0" xfId="41" applyFont="1" applyBorder="1" applyAlignment="1">
      <alignment horizontal="right"/>
    </xf>
    <xf numFmtId="0" fontId="36" fillId="24" borderId="82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8" fillId="24" borderId="85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6" fillId="24" borderId="48" xfId="41" applyFont="1" applyFill="1" applyBorder="1" applyAlignment="1">
      <alignment horizontal="center" vertical="center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87" xfId="41" applyFont="1" applyFill="1" applyBorder="1" applyAlignment="1">
      <alignment horizontal="center" vertical="center"/>
    </xf>
    <xf numFmtId="0" fontId="36" fillId="24" borderId="88" xfId="41" applyFont="1" applyFill="1" applyBorder="1" applyAlignment="1">
      <alignment horizontal="center" vertical="center" wrapText="1"/>
    </xf>
    <xf numFmtId="0" fontId="36" fillId="24" borderId="89" xfId="41" applyFont="1" applyFill="1" applyBorder="1" applyAlignment="1">
      <alignment horizontal="center" vertical="center" wrapText="1"/>
    </xf>
    <xf numFmtId="49" fontId="35" fillId="24" borderId="73" xfId="39" applyNumberFormat="1" applyFont="1" applyFill="1" applyBorder="1" applyAlignment="1">
      <alignment horizontal="center" wrapText="1"/>
    </xf>
    <xf numFmtId="0" fontId="35" fillId="24" borderId="72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center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88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91" xfId="39" applyFont="1" applyFill="1" applyBorder="1" applyAlignment="1">
      <alignment horizontal="center" wrapText="1"/>
    </xf>
    <xf numFmtId="0" fontId="36" fillId="24" borderId="92" xfId="41" applyFont="1" applyFill="1" applyBorder="1" applyAlignment="1">
      <alignment horizontal="center" vertical="center" wrapText="1"/>
    </xf>
    <xf numFmtId="0" fontId="36" fillId="24" borderId="93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49" fontId="38" fillId="24" borderId="94" xfId="39" applyNumberFormat="1" applyFont="1" applyFill="1" applyBorder="1" applyAlignment="1">
      <alignment horizontal="left" wrapText="1"/>
    </xf>
    <xf numFmtId="0" fontId="34" fillId="0" borderId="47" xfId="0" applyFont="1" applyBorder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6" fillId="24" borderId="95" xfId="39" applyFont="1" applyFill="1" applyBorder="1" applyAlignment="1">
      <alignment horizontal="left" wrapText="1"/>
    </xf>
    <xf numFmtId="0" fontId="36" fillId="24" borderId="96" xfId="39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49" fontId="38" fillId="24" borderId="98" xfId="39" applyNumberFormat="1" applyFont="1" applyFill="1" applyBorder="1" applyAlignment="1">
      <alignment horizontal="left" wrapText="1"/>
    </xf>
    <xf numFmtId="49" fontId="38" fillId="24" borderId="99" xfId="39" applyNumberFormat="1" applyFont="1" applyFill="1" applyBorder="1" applyAlignment="1">
      <alignment horizontal="left" wrapText="1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48" xfId="42" applyFont="1" applyFill="1" applyBorder="1" applyAlignment="1">
      <alignment horizontal="center" vertical="center" wrapText="1"/>
    </xf>
    <xf numFmtId="0" fontId="36" fillId="24" borderId="92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0" fontId="36" fillId="24" borderId="88" xfId="42" applyFont="1" applyFill="1" applyBorder="1" applyAlignment="1">
      <alignment horizontal="center" vertical="center" wrapText="1"/>
    </xf>
    <xf numFmtId="0" fontId="36" fillId="24" borderId="89" xfId="42" applyFont="1" applyFill="1" applyBorder="1" applyAlignment="1">
      <alignment horizontal="center" vertical="center" wrapText="1"/>
    </xf>
    <xf numFmtId="0" fontId="38" fillId="24" borderId="44" xfId="40" applyFont="1" applyFill="1" applyBorder="1" applyAlignment="1">
      <alignment horizontal="left" wrapText="1"/>
    </xf>
    <xf numFmtId="0" fontId="35" fillId="24" borderId="88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91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77" xfId="42" applyFont="1" applyFill="1" applyBorder="1" applyAlignment="1">
      <alignment horizontal="center" vertical="center"/>
    </xf>
    <xf numFmtId="0" fontId="35" fillId="24" borderId="78" xfId="42" applyFont="1" applyFill="1" applyBorder="1" applyAlignment="1">
      <alignment horizontal="center" vertical="center"/>
    </xf>
    <xf numFmtId="0" fontId="35" fillId="24" borderId="80" xfId="42" applyFont="1" applyFill="1" applyBorder="1" applyAlignment="1">
      <alignment horizontal="center" vertical="center"/>
    </xf>
    <xf numFmtId="0" fontId="35" fillId="24" borderId="81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82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Fill="1" applyBorder="1" applyAlignment="1">
      <alignment horizontal="left"/>
    </xf>
    <xf numFmtId="0" fontId="38" fillId="24" borderId="83" xfId="40" applyFont="1" applyFill="1" applyBorder="1" applyAlignment="1">
      <alignment horizontal="left" wrapText="1"/>
    </xf>
    <xf numFmtId="0" fontId="38" fillId="24" borderId="84" xfId="40" applyFont="1" applyFill="1" applyBorder="1" applyAlignment="1">
      <alignment horizontal="left" wrapText="1"/>
    </xf>
    <xf numFmtId="0" fontId="35" fillId="0" borderId="0" xfId="42" applyFont="1" applyBorder="1" applyAlignment="1">
      <alignment horizontal="right"/>
    </xf>
    <xf numFmtId="0" fontId="36" fillId="24" borderId="82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8" fillId="24" borderId="85" xfId="40" applyFont="1" applyFill="1" applyBorder="1" applyAlignment="1">
      <alignment horizontal="left" wrapText="1"/>
    </xf>
    <xf numFmtId="0" fontId="38" fillId="24" borderId="86" xfId="40" applyFont="1" applyFill="1" applyBorder="1" applyAlignment="1">
      <alignment horizontal="left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87" xfId="42" applyFont="1" applyFill="1" applyBorder="1" applyAlignment="1">
      <alignment horizontal="center" vertical="center"/>
    </xf>
    <xf numFmtId="0" fontId="35" fillId="24" borderId="79" xfId="42" applyFont="1" applyFill="1" applyBorder="1" applyAlignment="1">
      <alignment horizontal="center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00000000-0005-0000-0000-000026000000}"/>
    <cellStyle name="Normal_Sheet1" xfId="39" xr:uid="{00000000-0005-0000-0000-000027000000}"/>
    <cellStyle name="Normal_Sheet1_Template_UnitTest Case_v0.9" xfId="40" xr:uid="{00000000-0005-0000-0000-000028000000}"/>
    <cellStyle name="Normal_Template_UnitTest Case_v0.9" xfId="41" xr:uid="{00000000-0005-0000-0000-000029000000}"/>
    <cellStyle name="Normal_Template_UnitTest Case_v0.9_Template_UnitTest Case_v0.9" xfId="42" xr:uid="{00000000-0005-0000-0000-00002A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58866680124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E0B-43C3-8A69-4F1A0F0109E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0B-43C3-8A69-4F1A0F0109E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E0B-43C3-8A69-4F1A0F0109E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24</c:v>
                </c:pt>
                <c:pt idx="1">
                  <c:v>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0B-43C3-8A69-4F1A0F0109E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E0B-43C3-8A69-4F1A0F0109E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FE0B-43C3-8A69-4F1A0F0109E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E0B-43C3-8A69-4F1A0F0109E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FE0B-43C3-8A69-4F1A0F0109E7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E0B-43C3-8A69-4F1A0F0109E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FE0B-43C3-8A69-4F1A0F0109E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FE0B-43C3-8A69-4F1A0F0109E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0B-43C3-8A69-4F1A0F0109E7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E0B-43C3-8A69-4F1A0F0109E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FE0B-43C3-8A69-4F1A0F0109E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FE0B-43C3-8A69-4F1A0F0109E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0B-43C3-8A69-4F1A0F0109E7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E0B-43C3-8A69-4F1A0F0109E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E0B-43C3-8A69-4F1A0F0109E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E0B-43C3-8A69-4F1A0F0109E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24</c:v>
                </c:pt>
                <c:pt idx="1">
                  <c:v>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E0B-43C3-8A69-4F1A0F010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89790699239526"/>
          <c:y val="0.39454478346456695"/>
          <c:w val="8.4618076586580493E-2"/>
          <c:h val="0.316417322834645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114043177037"/>
          <c:y val="3.9525892596758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E0F-4E85-B93B-B46948C3D74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0F-4E85-B93B-B46948C3D74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E0F-4E85-B93B-B46948C3D74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21</c:v>
                </c:pt>
                <c:pt idx="1">
                  <c:v>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0F-4E85-B93B-B46948C3D74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E0F-4E85-B93B-B46948C3D74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3E0F-4E85-B93B-B46948C3D74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E0F-4E85-B93B-B46948C3D74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3E0F-4E85-B93B-B46948C3D747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E0F-4E85-B93B-B46948C3D74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3E0F-4E85-B93B-B46948C3D74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3E0F-4E85-B93B-B46948C3D74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0F-4E85-B93B-B46948C3D747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E0F-4E85-B93B-B46948C3D74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3E0F-4E85-B93B-B46948C3D74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3E0F-4E85-B93B-B46948C3D74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0F-4E85-B93B-B46948C3D747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E0F-4E85-B93B-B46948C3D74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E0F-4E85-B93B-B46948C3D74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E0F-4E85-B93B-B46948C3D74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21</c:v>
                </c:pt>
                <c:pt idx="1">
                  <c:v>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E0F-4E85-B93B-B46948C3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705090917689346"/>
          <c:y val="0.42858476023830355"/>
          <c:w val="0.19144735286467573"/>
          <c:h val="0.30159646710827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123825</xdr:rowOff>
    </xdr:from>
    <xdr:to>
      <xdr:col>0</xdr:col>
      <xdr:colOff>1314450</xdr:colOff>
      <xdr:row>1</xdr:row>
      <xdr:rowOff>847725</xdr:rowOff>
    </xdr:to>
    <xdr:pic>
      <xdr:nvPicPr>
        <xdr:cNvPr id="1080" name="Picture 2">
          <a:extLst>
            <a:ext uri="{FF2B5EF4-FFF2-40B4-BE49-F238E27FC236}">
              <a16:creationId xmlns:a16="http://schemas.microsoft.com/office/drawing/2014/main" id="{0393F332-EB7A-4E37-8567-43B668A1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85750"/>
          <a:ext cx="12477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24</xdr:row>
      <xdr:rowOff>0</xdr:rowOff>
    </xdr:from>
    <xdr:to>
      <xdr:col>9</xdr:col>
      <xdr:colOff>0</xdr:colOff>
      <xdr:row>39</xdr:row>
      <xdr:rowOff>9525</xdr:rowOff>
    </xdr:to>
    <xdr:graphicFrame macro="">
      <xdr:nvGraphicFramePr>
        <xdr:cNvPr id="2157" name="Chart 16">
          <a:extLst>
            <a:ext uri="{FF2B5EF4-FFF2-40B4-BE49-F238E27FC236}">
              <a16:creationId xmlns:a16="http://schemas.microsoft.com/office/drawing/2014/main" id="{BE3FF186-0C5D-413E-83A7-871E5DD17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24</xdr:row>
      <xdr:rowOff>28575</xdr:rowOff>
    </xdr:from>
    <xdr:to>
      <xdr:col>3</xdr:col>
      <xdr:colOff>228600</xdr:colOff>
      <xdr:row>39</xdr:row>
      <xdr:rowOff>0</xdr:rowOff>
    </xdr:to>
    <xdr:graphicFrame macro="">
      <xdr:nvGraphicFramePr>
        <xdr:cNvPr id="2158" name="Chart 17">
          <a:extLst>
            <a:ext uri="{FF2B5EF4-FFF2-40B4-BE49-F238E27FC236}">
              <a16:creationId xmlns:a16="http://schemas.microsoft.com/office/drawing/2014/main" id="{7331AC71-E3E5-4321-8E48-2301C2F79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zoomScale="85" zoomScaleNormal="85" workbookViewId="0"/>
  </sheetViews>
  <sheetFormatPr defaultColWidth="11" defaultRowHeight="14.25"/>
  <cols>
    <col min="1" max="1" width="119.375" style="170" customWidth="1"/>
    <col min="2" max="16384" width="11" style="170"/>
  </cols>
  <sheetData>
    <row r="1" spans="1:1" s="167" customFormat="1" ht="22.5">
      <c r="A1" s="166" t="s">
        <v>124</v>
      </c>
    </row>
    <row r="2" spans="1:1" s="167" customFormat="1" ht="22.5">
      <c r="A2" s="166"/>
    </row>
    <row r="3" spans="1:1" s="168" customFormat="1" ht="18">
      <c r="A3" s="171" t="s">
        <v>152</v>
      </c>
    </row>
    <row r="4" spans="1:1" ht="15" customHeight="1">
      <c r="A4" s="174" t="s">
        <v>122</v>
      </c>
    </row>
    <row r="5" spans="1:1" ht="15" customHeight="1">
      <c r="A5" s="174" t="s">
        <v>157</v>
      </c>
    </row>
    <row r="6" spans="1:1" ht="38.25">
      <c r="A6" s="175" t="s">
        <v>172</v>
      </c>
    </row>
    <row r="7" spans="1:1" ht="29.25" customHeight="1">
      <c r="A7" s="175" t="s">
        <v>175</v>
      </c>
    </row>
    <row r="8" spans="1:1" ht="30" customHeight="1">
      <c r="A8" s="176" t="s">
        <v>159</v>
      </c>
    </row>
    <row r="9" spans="1:1" s="179" customFormat="1" ht="16.5" customHeight="1">
      <c r="A9" s="178" t="s">
        <v>173</v>
      </c>
    </row>
    <row r="10" spans="1:1" ht="16.5" customHeight="1">
      <c r="A10" s="169"/>
    </row>
    <row r="11" spans="1:1" s="168" customFormat="1" ht="18">
      <c r="A11" s="171" t="s">
        <v>123</v>
      </c>
    </row>
    <row r="12" spans="1:1" s="172" customFormat="1" ht="15">
      <c r="A12" s="177" t="s">
        <v>98</v>
      </c>
    </row>
    <row r="13" spans="1:1" ht="25.5">
      <c r="A13" s="174" t="s">
        <v>160</v>
      </c>
    </row>
    <row r="14" spans="1:1">
      <c r="A14" s="174" t="s">
        <v>161</v>
      </c>
    </row>
    <row r="15" spans="1:1">
      <c r="A15" s="175" t="s">
        <v>162</v>
      </c>
    </row>
    <row r="16" spans="1:1">
      <c r="A16" s="169"/>
    </row>
    <row r="17" spans="1:4" s="172" customFormat="1" ht="15">
      <c r="A17" s="177" t="s">
        <v>126</v>
      </c>
    </row>
    <row r="18" spans="1:4">
      <c r="A18" s="174" t="s">
        <v>127</v>
      </c>
      <c r="B18" s="169"/>
    </row>
    <row r="19" spans="1:4">
      <c r="A19" s="177" t="s">
        <v>163</v>
      </c>
    </row>
    <row r="20" spans="1:4">
      <c r="A20" s="174" t="s">
        <v>128</v>
      </c>
      <c r="B20" s="169"/>
    </row>
    <row r="21" spans="1:4" ht="25.5">
      <c r="A21" s="175" t="s">
        <v>129</v>
      </c>
    </row>
    <row r="22" spans="1:4">
      <c r="A22" s="174" t="s">
        <v>130</v>
      </c>
      <c r="B22" s="173"/>
    </row>
    <row r="23" spans="1:4">
      <c r="A23" s="174" t="s">
        <v>131</v>
      </c>
      <c r="B23" s="169"/>
    </row>
    <row r="24" spans="1:4">
      <c r="A24" s="174" t="s">
        <v>176</v>
      </c>
      <c r="B24" s="169"/>
    </row>
    <row r="25" spans="1:4">
      <c r="A25" s="174" t="s">
        <v>132</v>
      </c>
      <c r="B25" s="169"/>
      <c r="C25" s="169" t="s">
        <v>94</v>
      </c>
      <c r="D25" s="169" t="s">
        <v>94</v>
      </c>
    </row>
    <row r="26" spans="1:4">
      <c r="A26" s="174" t="s">
        <v>95</v>
      </c>
    </row>
    <row r="27" spans="1:4">
      <c r="A27" s="174" t="s">
        <v>153</v>
      </c>
      <c r="B27" s="169"/>
    </row>
    <row r="28" spans="1:4">
      <c r="A28" s="174" t="s">
        <v>154</v>
      </c>
    </row>
    <row r="29" spans="1:4">
      <c r="A29" s="174" t="s">
        <v>155</v>
      </c>
    </row>
    <row r="30" spans="1:4">
      <c r="A30" s="174" t="s">
        <v>156</v>
      </c>
      <c r="B30" s="169"/>
      <c r="C30" s="169" t="s">
        <v>94</v>
      </c>
    </row>
    <row r="31" spans="1:4">
      <c r="A31" s="177" t="s">
        <v>164</v>
      </c>
    </row>
    <row r="32" spans="1:4" ht="30" customHeight="1">
      <c r="A32" s="175" t="s">
        <v>133</v>
      </c>
    </row>
    <row r="33" spans="1:2">
      <c r="A33" s="174" t="s">
        <v>96</v>
      </c>
    </row>
    <row r="34" spans="1:2">
      <c r="A34" s="174" t="s">
        <v>134</v>
      </c>
    </row>
    <row r="35" spans="1:2">
      <c r="A35" s="174" t="s">
        <v>135</v>
      </c>
      <c r="B35" s="169"/>
    </row>
    <row r="36" spans="1:2">
      <c r="A36" s="174" t="s">
        <v>136</v>
      </c>
      <c r="B36" s="169"/>
    </row>
    <row r="37" spans="1:2">
      <c r="A37" s="177" t="s">
        <v>165</v>
      </c>
    </row>
    <row r="38" spans="1:2">
      <c r="A38" s="174" t="s">
        <v>137</v>
      </c>
    </row>
    <row r="39" spans="1:2" ht="38.25">
      <c r="A39" s="176" t="s">
        <v>158</v>
      </c>
      <c r="B39" s="169"/>
    </row>
    <row r="40" spans="1:2">
      <c r="A40" s="176"/>
      <c r="B40" s="169"/>
    </row>
    <row r="41" spans="1:2" s="172" customFormat="1" ht="15">
      <c r="A41" s="177" t="s">
        <v>138</v>
      </c>
    </row>
    <row r="42" spans="1:2">
      <c r="A42" s="174" t="s">
        <v>166</v>
      </c>
    </row>
    <row r="43" spans="1:2">
      <c r="A43" s="174" t="s">
        <v>167</v>
      </c>
    </row>
    <row r="44" spans="1:2">
      <c r="A44" s="174" t="s">
        <v>168</v>
      </c>
    </row>
    <row r="45" spans="1:2">
      <c r="A45" s="174" t="s">
        <v>169</v>
      </c>
    </row>
    <row r="46" spans="1:2">
      <c r="A46" s="174" t="s">
        <v>170</v>
      </c>
    </row>
    <row r="47" spans="1:2">
      <c r="A47" s="174" t="s">
        <v>171</v>
      </c>
    </row>
    <row r="48" spans="1:2">
      <c r="A48" s="169" t="s">
        <v>97</v>
      </c>
    </row>
    <row r="49" spans="1:1">
      <c r="A49" s="169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topLeftCell="A4" workbookViewId="0">
      <selection activeCell="A9" sqref="A9"/>
    </sheetView>
  </sheetViews>
  <sheetFormatPr defaultColWidth="11" defaultRowHeight="12.75"/>
  <cols>
    <col min="1" max="1" width="21.375" style="28" customWidth="1"/>
    <col min="2" max="2" width="10" style="3" customWidth="1"/>
    <col min="3" max="3" width="14.375" style="3" customWidth="1"/>
    <col min="4" max="4" width="8" style="3" customWidth="1"/>
    <col min="5" max="5" width="38" style="3" customWidth="1"/>
    <col min="6" max="6" width="48.125" style="3" customWidth="1"/>
    <col min="7" max="16384" width="11" style="3"/>
  </cols>
  <sheetData>
    <row r="2" spans="1:6" s="2" customFormat="1" ht="75.75" customHeight="1">
      <c r="A2" s="1"/>
      <c r="B2" s="290" t="s">
        <v>0</v>
      </c>
      <c r="C2" s="290"/>
      <c r="D2" s="290"/>
      <c r="E2" s="290"/>
      <c r="F2" s="290"/>
    </row>
    <row r="3" spans="1:6">
      <c r="A3" s="4"/>
      <c r="B3" s="5"/>
      <c r="E3" s="6"/>
    </row>
    <row r="4" spans="1:6" ht="14.25" customHeight="1">
      <c r="A4" s="180" t="s">
        <v>1</v>
      </c>
      <c r="B4" s="291" t="s">
        <v>2</v>
      </c>
      <c r="C4" s="291"/>
      <c r="D4" s="291"/>
      <c r="E4" s="180" t="s">
        <v>3</v>
      </c>
      <c r="F4" s="7"/>
    </row>
    <row r="5" spans="1:6" ht="14.25" customHeight="1">
      <c r="A5" s="180" t="s">
        <v>4</v>
      </c>
      <c r="B5" s="291" t="s">
        <v>5</v>
      </c>
      <c r="C5" s="291"/>
      <c r="D5" s="291"/>
      <c r="E5" s="180" t="s">
        <v>6</v>
      </c>
      <c r="F5" s="7"/>
    </row>
    <row r="6" spans="1:6" ht="15.75" customHeight="1">
      <c r="A6" s="292" t="s">
        <v>7</v>
      </c>
      <c r="B6" s="293" t="str">
        <f>B5&amp;"_"&amp;"XXX"&amp;"_"&amp;"vx.x"</f>
        <v>&lt;Project Code&gt;_XXX_vx.x</v>
      </c>
      <c r="C6" s="293"/>
      <c r="D6" s="293"/>
      <c r="E6" s="180" t="s">
        <v>8</v>
      </c>
      <c r="F6" s="160" t="s">
        <v>9</v>
      </c>
    </row>
    <row r="7" spans="1:6" ht="13.5" customHeight="1">
      <c r="A7" s="292"/>
      <c r="B7" s="293"/>
      <c r="C7" s="293"/>
      <c r="D7" s="293"/>
      <c r="E7" s="180" t="s">
        <v>10</v>
      </c>
      <c r="F7" s="161"/>
    </row>
    <row r="8" spans="1:6">
      <c r="A8" s="181"/>
      <c r="B8" s="8"/>
      <c r="C8" s="9"/>
      <c r="D8" s="9"/>
      <c r="E8" s="10"/>
      <c r="F8" s="11"/>
    </row>
    <row r="9" spans="1:6">
      <c r="A9" s="12"/>
      <c r="B9" s="13"/>
      <c r="C9" s="13"/>
      <c r="D9" s="13"/>
      <c r="E9" s="13"/>
    </row>
    <row r="10" spans="1:6">
      <c r="A10" s="182" t="s">
        <v>11</v>
      </c>
    </row>
    <row r="11" spans="1:6" s="14" customFormat="1">
      <c r="A11" s="15" t="s">
        <v>12</v>
      </c>
      <c r="B11" s="16" t="s">
        <v>10</v>
      </c>
      <c r="C11" s="16" t="s">
        <v>13</v>
      </c>
      <c r="D11" s="16" t="s">
        <v>14</v>
      </c>
      <c r="E11" s="16" t="s">
        <v>15</v>
      </c>
      <c r="F11" s="17" t="s">
        <v>16</v>
      </c>
    </row>
    <row r="12" spans="1:6" s="18" customFormat="1" ht="26.25" customHeight="1">
      <c r="A12" s="162" t="s">
        <v>17</v>
      </c>
      <c r="B12" s="19"/>
      <c r="C12" s="20"/>
      <c r="D12" s="20"/>
      <c r="E12" s="21"/>
      <c r="F12" s="163" t="s">
        <v>18</v>
      </c>
    </row>
    <row r="13" spans="1:6" s="18" customFormat="1" ht="21.75" customHeight="1">
      <c r="A13" s="22"/>
      <c r="B13" s="19"/>
      <c r="C13" s="20"/>
      <c r="D13" s="20"/>
      <c r="E13" s="20"/>
      <c r="F13" s="23"/>
    </row>
    <row r="14" spans="1:6" s="18" customFormat="1" ht="19.5" customHeight="1">
      <c r="A14" s="22"/>
      <c r="B14" s="19"/>
      <c r="C14" s="20"/>
      <c r="D14" s="20"/>
      <c r="E14" s="20"/>
      <c r="F14" s="23"/>
    </row>
    <row r="15" spans="1:6" s="18" customFormat="1" ht="21.75" customHeight="1">
      <c r="A15" s="22"/>
      <c r="B15" s="19"/>
      <c r="C15" s="20"/>
      <c r="D15" s="20"/>
      <c r="E15" s="20"/>
      <c r="F15" s="23"/>
    </row>
    <row r="16" spans="1:6" s="18" customFormat="1" ht="19.5" customHeight="1">
      <c r="A16" s="22"/>
      <c r="B16" s="19"/>
      <c r="C16" s="20"/>
      <c r="D16" s="20"/>
      <c r="E16" s="20"/>
      <c r="F16" s="23"/>
    </row>
    <row r="17" spans="1:6" s="18" customFormat="1" ht="21.75" customHeight="1">
      <c r="A17" s="22"/>
      <c r="B17" s="19"/>
      <c r="C17" s="20"/>
      <c r="D17" s="20"/>
      <c r="E17" s="20"/>
      <c r="F17" s="23"/>
    </row>
    <row r="18" spans="1:6" s="18" customFormat="1" ht="19.5" customHeight="1">
      <c r="A18" s="24"/>
      <c r="B18" s="25"/>
      <c r="C18" s="26"/>
      <c r="D18" s="26"/>
      <c r="E18" s="26"/>
      <c r="F18" s="27"/>
    </row>
  </sheetData>
  <mergeCells count="5">
    <mergeCell ref="B2:F2"/>
    <mergeCell ref="B4:D4"/>
    <mergeCell ref="B5:D5"/>
    <mergeCell ref="A6:A7"/>
    <mergeCell ref="B6:D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topLeftCell="E1" zoomScaleNormal="100" workbookViewId="0">
      <selection activeCell="G28" sqref="G28"/>
    </sheetView>
  </sheetViews>
  <sheetFormatPr defaultColWidth="11" defaultRowHeight="12.75"/>
  <cols>
    <col min="1" max="1" width="7.125" style="62" customWidth="1"/>
    <col min="2" max="2" width="14.875" style="62" customWidth="1"/>
    <col min="3" max="3" width="9.875" style="62" bestFit="1" customWidth="1"/>
    <col min="4" max="4" width="12.375" style="30" bestFit="1" customWidth="1"/>
    <col min="5" max="5" width="21" style="31" customWidth="1"/>
    <col min="6" max="6" width="12.375" style="30" customWidth="1"/>
    <col min="7" max="7" width="22.5" style="30" customWidth="1"/>
    <col min="8" max="8" width="33.875" style="30" customWidth="1"/>
    <col min="9" max="16384" width="11" style="6"/>
  </cols>
  <sheetData>
    <row r="2" spans="1:8" ht="25.5">
      <c r="A2" s="29"/>
      <c r="B2" s="29"/>
      <c r="C2" s="29"/>
      <c r="E2" s="32" t="s">
        <v>19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295" t="s">
        <v>1</v>
      </c>
      <c r="B4" s="295"/>
      <c r="C4" s="295"/>
      <c r="D4" s="295"/>
      <c r="E4" s="296" t="str">
        <f>Cover!B4</f>
        <v>&lt;Project Name&gt;</v>
      </c>
      <c r="F4" s="297"/>
      <c r="G4" s="297"/>
      <c r="H4" s="298"/>
    </row>
    <row r="5" spans="1:8" ht="14.25" customHeight="1">
      <c r="A5" s="295" t="s">
        <v>4</v>
      </c>
      <c r="B5" s="295"/>
      <c r="C5" s="295"/>
      <c r="D5" s="295"/>
      <c r="E5" s="296" t="str">
        <f>Cover!B5</f>
        <v>&lt;Project Code&gt;</v>
      </c>
      <c r="F5" s="297"/>
      <c r="G5" s="297"/>
      <c r="H5" s="298"/>
    </row>
    <row r="6" spans="1:8" ht="14.25" customHeight="1">
      <c r="A6" s="302" t="s">
        <v>125</v>
      </c>
      <c r="B6" s="303"/>
      <c r="C6" s="303"/>
      <c r="D6" s="304"/>
      <c r="E6" s="197">
        <v>100</v>
      </c>
      <c r="F6" s="198"/>
      <c r="G6" s="198"/>
      <c r="H6" s="199"/>
    </row>
    <row r="7" spans="1:8" s="35" customFormat="1" ht="12.75" customHeight="1">
      <c r="A7" s="294" t="s">
        <v>20</v>
      </c>
      <c r="B7" s="294"/>
      <c r="C7" s="294"/>
      <c r="D7" s="294"/>
      <c r="E7" s="299" t="s">
        <v>21</v>
      </c>
      <c r="F7" s="300"/>
      <c r="G7" s="300"/>
      <c r="H7" s="301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22</v>
      </c>
      <c r="B10" s="44" t="s">
        <v>23</v>
      </c>
      <c r="C10" s="45" t="s">
        <v>24</v>
      </c>
      <c r="D10" s="46" t="s">
        <v>25</v>
      </c>
      <c r="E10" s="47" t="s">
        <v>150</v>
      </c>
      <c r="F10" s="46" t="s">
        <v>26</v>
      </c>
      <c r="G10" s="48" t="s">
        <v>27</v>
      </c>
      <c r="H10" s="49" t="s">
        <v>28</v>
      </c>
    </row>
    <row r="11" spans="1:8">
      <c r="A11" s="164">
        <v>1</v>
      </c>
      <c r="B11" s="51"/>
      <c r="C11" s="51" t="s">
        <v>29</v>
      </c>
      <c r="D11" s="52" t="s">
        <v>30</v>
      </c>
      <c r="E11" s="53" t="s">
        <v>151</v>
      </c>
      <c r="F11" s="54" t="s">
        <v>151</v>
      </c>
      <c r="G11" s="54"/>
      <c r="H11" s="55"/>
    </row>
    <row r="12" spans="1:8">
      <c r="A12" s="164">
        <v>2</v>
      </c>
      <c r="B12" s="51"/>
      <c r="C12" s="51" t="s">
        <v>118</v>
      </c>
      <c r="D12" s="52" t="s">
        <v>31</v>
      </c>
      <c r="E12" s="53" t="s">
        <v>32</v>
      </c>
      <c r="F12" s="54" t="s">
        <v>32</v>
      </c>
      <c r="G12" s="54"/>
      <c r="H12" s="55"/>
    </row>
    <row r="13" spans="1:8">
      <c r="A13" s="164">
        <v>3</v>
      </c>
      <c r="B13" s="51"/>
      <c r="C13" s="51" t="s">
        <v>119</v>
      </c>
      <c r="D13" s="52" t="s">
        <v>120</v>
      </c>
      <c r="E13" s="53" t="s">
        <v>121</v>
      </c>
      <c r="F13" s="54" t="s">
        <v>121</v>
      </c>
      <c r="G13" s="54"/>
      <c r="H13" s="55"/>
    </row>
    <row r="14" spans="1:8">
      <c r="A14" s="164"/>
      <c r="B14" s="51"/>
      <c r="C14" s="51"/>
      <c r="D14" s="52"/>
      <c r="E14" s="53"/>
      <c r="F14" s="54"/>
      <c r="G14" s="54"/>
      <c r="H14" s="55"/>
    </row>
    <row r="15" spans="1:8">
      <c r="A15" s="164"/>
      <c r="B15" s="51"/>
      <c r="C15" s="51"/>
      <c r="D15" s="52"/>
      <c r="E15" s="53"/>
      <c r="F15" s="54"/>
      <c r="G15" s="54"/>
      <c r="H15" s="55"/>
    </row>
    <row r="16" spans="1:8">
      <c r="A16" s="164"/>
      <c r="B16" s="51"/>
      <c r="C16" s="51"/>
      <c r="D16" s="52"/>
      <c r="E16" s="53"/>
      <c r="F16" s="56"/>
      <c r="G16" s="56"/>
      <c r="H16" s="55"/>
    </row>
    <row r="17" spans="1:8">
      <c r="A17" s="164"/>
      <c r="B17" s="51"/>
      <c r="C17" s="51"/>
      <c r="D17" s="52"/>
      <c r="E17" s="53"/>
      <c r="F17" s="56"/>
      <c r="G17" s="56"/>
      <c r="H17" s="55"/>
    </row>
    <row r="18" spans="1:8">
      <c r="A18" s="164"/>
      <c r="B18" s="51"/>
      <c r="C18" s="51"/>
      <c r="D18" s="52"/>
      <c r="E18" s="53"/>
      <c r="F18" s="56"/>
      <c r="G18" s="56"/>
      <c r="H18" s="55"/>
    </row>
    <row r="19" spans="1:8">
      <c r="A19" s="164"/>
      <c r="B19" s="51"/>
      <c r="C19" s="51"/>
      <c r="D19" s="52"/>
      <c r="E19" s="53"/>
      <c r="F19" s="56"/>
      <c r="G19" s="56"/>
      <c r="H19" s="55"/>
    </row>
    <row r="20" spans="1:8">
      <c r="A20" s="164"/>
      <c r="B20" s="51"/>
      <c r="C20" s="51"/>
      <c r="D20" s="52"/>
      <c r="E20" s="53"/>
      <c r="F20" s="56"/>
      <c r="G20" s="56"/>
      <c r="H20" s="55"/>
    </row>
    <row r="21" spans="1:8">
      <c r="A21" s="164"/>
      <c r="B21" s="51"/>
      <c r="C21" s="51"/>
      <c r="D21" s="52"/>
      <c r="E21" s="53"/>
      <c r="F21" s="56"/>
      <c r="G21" s="56"/>
      <c r="H21" s="55"/>
    </row>
    <row r="22" spans="1:8">
      <c r="A22" s="164"/>
      <c r="B22" s="51"/>
      <c r="C22" s="51"/>
      <c r="D22" s="52"/>
      <c r="E22" s="53"/>
      <c r="F22" s="56"/>
      <c r="G22" s="56"/>
      <c r="H22" s="55"/>
    </row>
    <row r="23" spans="1:8">
      <c r="A23" s="165"/>
      <c r="B23" s="57"/>
      <c r="C23" s="57"/>
      <c r="D23" s="58"/>
      <c r="E23" s="59"/>
      <c r="F23" s="60"/>
      <c r="G23" s="60"/>
      <c r="H23" s="61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 xr:uid="{00000000-0004-0000-0200-000000000000}"/>
    <hyperlink ref="F12" location="Function2!A1" display="Function2" xr:uid="{00000000-0004-0000-0200-000001000000}"/>
    <hyperlink ref="F13" location="Function3!A1" display="Function3" xr:uid="{00000000-0004-0000-0200-000002000000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3"/>
  <sheetViews>
    <sheetView topLeftCell="A15" workbookViewId="0">
      <selection activeCell="G42" sqref="G42"/>
    </sheetView>
  </sheetViews>
  <sheetFormatPr defaultColWidth="11" defaultRowHeight="12.75"/>
  <cols>
    <col min="1" max="1" width="15.375" style="6" customWidth="1"/>
    <col min="2" max="2" width="26.5" style="6" customWidth="1"/>
    <col min="3" max="3" width="12.125" style="6" customWidth="1"/>
    <col min="4" max="4" width="9.5" style="6" customWidth="1"/>
    <col min="5" max="5" width="9.875" style="6" customWidth="1"/>
    <col min="6" max="8" width="5.125" style="6" customWidth="1"/>
    <col min="9" max="9" width="21" style="6" customWidth="1"/>
    <col min="10" max="10" width="33.125" style="6" customWidth="1"/>
    <col min="11" max="16384" width="11" style="6"/>
  </cols>
  <sheetData>
    <row r="2" spans="1:9" ht="25.5" customHeight="1">
      <c r="A2" s="305" t="s">
        <v>33</v>
      </c>
      <c r="B2" s="305"/>
      <c r="C2" s="305"/>
      <c r="D2" s="305"/>
      <c r="E2" s="305"/>
      <c r="F2" s="305"/>
      <c r="G2" s="305"/>
      <c r="H2" s="305"/>
      <c r="I2" s="305"/>
    </row>
    <row r="3" spans="1:9" ht="14.25" customHeight="1">
      <c r="A3" s="63"/>
      <c r="B3" s="64"/>
      <c r="C3" s="64"/>
      <c r="D3" s="64"/>
      <c r="E3" s="64"/>
      <c r="F3" s="64"/>
      <c r="G3" s="64"/>
      <c r="H3" s="64"/>
      <c r="I3" s="65"/>
    </row>
    <row r="4" spans="1:9" ht="13.5" customHeight="1">
      <c r="A4" s="196" t="s">
        <v>1</v>
      </c>
      <c r="B4" s="306" t="str">
        <f>Cover!B4</f>
        <v>&lt;Project Name&gt;</v>
      </c>
      <c r="C4" s="306"/>
      <c r="D4" s="307" t="s">
        <v>3</v>
      </c>
      <c r="E4" s="307"/>
      <c r="F4" s="308"/>
      <c r="G4" s="309"/>
      <c r="H4" s="309"/>
      <c r="I4" s="310"/>
    </row>
    <row r="5" spans="1:9" ht="13.5" customHeight="1">
      <c r="A5" s="196" t="s">
        <v>4</v>
      </c>
      <c r="B5" s="306" t="str">
        <f>Cover!B5</f>
        <v>&lt;Project Code&gt;</v>
      </c>
      <c r="C5" s="306"/>
      <c r="D5" s="307" t="s">
        <v>6</v>
      </c>
      <c r="E5" s="307"/>
      <c r="F5" s="308"/>
      <c r="G5" s="309"/>
      <c r="H5" s="309"/>
      <c r="I5" s="310"/>
    </row>
    <row r="6" spans="1:9" ht="12.75" customHeight="1">
      <c r="A6" s="200" t="s">
        <v>7</v>
      </c>
      <c r="B6" s="306" t="str">
        <f>B5&amp;"_"&amp;"Test Report"&amp;"_"&amp;"vx.x"</f>
        <v>&lt;Project Code&gt;_Test Report_vx.x</v>
      </c>
      <c r="C6" s="306"/>
      <c r="D6" s="307" t="s">
        <v>8</v>
      </c>
      <c r="E6" s="307"/>
      <c r="F6" s="311" t="s">
        <v>9</v>
      </c>
      <c r="G6" s="312"/>
      <c r="H6" s="312"/>
      <c r="I6" s="313"/>
    </row>
    <row r="7" spans="1:9" ht="15.75" customHeight="1">
      <c r="A7" s="200" t="s">
        <v>34</v>
      </c>
      <c r="B7" s="314" t="s">
        <v>35</v>
      </c>
      <c r="C7" s="314"/>
      <c r="D7" s="314"/>
      <c r="E7" s="314"/>
      <c r="F7" s="314"/>
      <c r="G7" s="314"/>
      <c r="H7" s="314"/>
      <c r="I7" s="314"/>
    </row>
    <row r="8" spans="1:9" ht="14.25" customHeight="1">
      <c r="A8" s="66"/>
      <c r="B8" s="67"/>
      <c r="C8" s="64"/>
      <c r="D8" s="64"/>
      <c r="E8" s="64"/>
      <c r="F8" s="64"/>
      <c r="G8" s="64"/>
      <c r="H8" s="64"/>
      <c r="I8" s="65"/>
    </row>
    <row r="9" spans="1:9">
      <c r="A9" s="66"/>
      <c r="B9" s="67"/>
      <c r="C9" s="64"/>
      <c r="D9" s="64"/>
      <c r="E9" s="64"/>
      <c r="F9" s="64"/>
      <c r="G9" s="64"/>
      <c r="H9" s="64"/>
      <c r="I9" s="65"/>
    </row>
    <row r="10" spans="1:9">
      <c r="A10" s="68"/>
      <c r="B10" s="68"/>
      <c r="C10" s="68"/>
      <c r="D10" s="68"/>
      <c r="E10" s="68"/>
      <c r="F10" s="68"/>
      <c r="G10" s="68"/>
      <c r="H10" s="68"/>
      <c r="I10" s="68"/>
    </row>
    <row r="11" spans="1:9" ht="14.25" customHeight="1">
      <c r="A11" s="69" t="s">
        <v>22</v>
      </c>
      <c r="B11" s="70" t="s">
        <v>174</v>
      </c>
      <c r="C11" s="71" t="s">
        <v>36</v>
      </c>
      <c r="D11" s="70" t="s">
        <v>37</v>
      </c>
      <c r="E11" s="72" t="s">
        <v>38</v>
      </c>
      <c r="F11" s="72" t="s">
        <v>72</v>
      </c>
      <c r="G11" s="72" t="s">
        <v>74</v>
      </c>
      <c r="H11" s="72" t="s">
        <v>73</v>
      </c>
      <c r="I11" s="73" t="s">
        <v>39</v>
      </c>
    </row>
    <row r="12" spans="1:9">
      <c r="A12" s="74">
        <v>1</v>
      </c>
      <c r="B12" s="185" t="s">
        <v>151</v>
      </c>
      <c r="C12" s="75">
        <f>CheckDate!A7</f>
        <v>0</v>
      </c>
      <c r="D12" s="75">
        <f>CheckDate!C7</f>
        <v>0</v>
      </c>
      <c r="E12" s="75">
        <f>CheckDate!F7</f>
        <v>16</v>
      </c>
      <c r="F12" s="76">
        <f>CheckDate!L7</f>
        <v>4</v>
      </c>
      <c r="G12" s="75">
        <f>CheckDate!M7</f>
        <v>4</v>
      </c>
      <c r="H12" s="75">
        <f>CheckDate!N7</f>
        <v>8</v>
      </c>
      <c r="I12" s="75">
        <f>CheckDate!O7</f>
        <v>16</v>
      </c>
    </row>
    <row r="13" spans="1:9">
      <c r="A13" s="74">
        <v>2</v>
      </c>
      <c r="B13" s="185" t="s">
        <v>32</v>
      </c>
      <c r="C13" s="75">
        <f>DayInMonth!A7</f>
        <v>9</v>
      </c>
      <c r="D13" s="75">
        <f>DayInMonth!C7</f>
        <v>4</v>
      </c>
      <c r="E13" s="75">
        <f>DayInMonth!F7</f>
        <v>2</v>
      </c>
      <c r="F13" s="76">
        <f>DayInMonth!L7</f>
        <v>8</v>
      </c>
      <c r="G13" s="75">
        <f>DayInMonth!M7</f>
        <v>1</v>
      </c>
      <c r="H13" s="75">
        <f>DayInMonth!N7</f>
        <v>6</v>
      </c>
      <c r="I13" s="75">
        <f>DayInMonth!O7</f>
        <v>15</v>
      </c>
    </row>
    <row r="14" spans="1:9">
      <c r="A14" s="74">
        <v>3</v>
      </c>
      <c r="B14" s="185" t="s">
        <v>121</v>
      </c>
      <c r="C14" s="75">
        <f>Function3!A7</f>
        <v>12</v>
      </c>
      <c r="D14" s="75">
        <f>Function3!C7</f>
        <v>2</v>
      </c>
      <c r="E14" s="75">
        <f>Function3!F7</f>
        <v>1</v>
      </c>
      <c r="F14" s="76">
        <f>Function3!L7</f>
        <v>12</v>
      </c>
      <c r="G14" s="75">
        <f>Function3!M7</f>
        <v>2</v>
      </c>
      <c r="H14" s="75">
        <f>Function3!N7</f>
        <v>1</v>
      </c>
      <c r="I14" s="75">
        <f>Function3!O7</f>
        <v>15</v>
      </c>
    </row>
    <row r="15" spans="1:9" ht="14.25">
      <c r="A15" s="74"/>
      <c r="B15" s="183"/>
      <c r="C15" s="75"/>
      <c r="D15" s="75"/>
      <c r="E15" s="75"/>
      <c r="F15" s="76"/>
      <c r="G15" s="75"/>
      <c r="H15" s="75"/>
      <c r="I15" s="75"/>
    </row>
    <row r="16" spans="1:9" ht="14.25">
      <c r="A16" s="74"/>
      <c r="B16" s="183"/>
      <c r="C16" s="75"/>
      <c r="D16" s="75"/>
      <c r="E16" s="75"/>
      <c r="F16" s="76"/>
      <c r="G16" s="75"/>
      <c r="H16" s="75"/>
      <c r="I16" s="75"/>
    </row>
    <row r="17" spans="1:9" ht="14.25">
      <c r="A17" s="77"/>
      <c r="B17" s="184" t="s">
        <v>40</v>
      </c>
      <c r="C17" s="78">
        <f t="shared" ref="C17:I17" si="0">SUM(C10:C16)</f>
        <v>21</v>
      </c>
      <c r="D17" s="78">
        <f t="shared" si="0"/>
        <v>6</v>
      </c>
      <c r="E17" s="78">
        <f t="shared" si="0"/>
        <v>19</v>
      </c>
      <c r="F17" s="78">
        <f t="shared" si="0"/>
        <v>24</v>
      </c>
      <c r="G17" s="78">
        <f t="shared" si="0"/>
        <v>7</v>
      </c>
      <c r="H17" s="78">
        <f t="shared" si="0"/>
        <v>15</v>
      </c>
      <c r="I17" s="78">
        <f t="shared" si="0"/>
        <v>46</v>
      </c>
    </row>
    <row r="18" spans="1:9">
      <c r="A18" s="79"/>
      <c r="B18" s="68"/>
      <c r="C18" s="80"/>
      <c r="D18" s="81"/>
      <c r="E18" s="81"/>
      <c r="F18" s="81"/>
      <c r="G18" s="81"/>
      <c r="H18" s="81"/>
      <c r="I18" s="81"/>
    </row>
    <row r="19" spans="1:9">
      <c r="A19" s="68"/>
      <c r="B19" s="201" t="s">
        <v>41</v>
      </c>
      <c r="C19" s="68"/>
      <c r="D19" s="202">
        <f>(C17+D17)*100/(I17)</f>
        <v>58.695652173913047</v>
      </c>
      <c r="E19" s="68" t="s">
        <v>42</v>
      </c>
      <c r="F19" s="68"/>
      <c r="G19" s="68"/>
      <c r="H19" s="68"/>
      <c r="I19" s="82"/>
    </row>
    <row r="20" spans="1:9">
      <c r="A20" s="68"/>
      <c r="B20" s="201" t="s">
        <v>43</v>
      </c>
      <c r="C20" s="68"/>
      <c r="D20" s="202">
        <f>C17*100/(I17)</f>
        <v>45.652173913043477</v>
      </c>
      <c r="E20" s="68" t="s">
        <v>42</v>
      </c>
      <c r="F20" s="68"/>
      <c r="G20" s="68"/>
      <c r="H20" s="68"/>
      <c r="I20" s="82"/>
    </row>
    <row r="21" spans="1:9">
      <c r="B21" s="201" t="s">
        <v>44</v>
      </c>
      <c r="C21" s="68"/>
      <c r="D21" s="202">
        <f>F17*100/I17</f>
        <v>52.173913043478258</v>
      </c>
      <c r="E21" s="68" t="s">
        <v>42</v>
      </c>
    </row>
    <row r="22" spans="1:9">
      <c r="B22" s="201" t="s">
        <v>45</v>
      </c>
      <c r="D22" s="202">
        <f>G17*100/I17</f>
        <v>15.217391304347826</v>
      </c>
      <c r="E22" s="68" t="s">
        <v>42</v>
      </c>
    </row>
    <row r="23" spans="1:9">
      <c r="B23" s="201" t="s">
        <v>46</v>
      </c>
      <c r="D23" s="202">
        <f>H17*100/I17</f>
        <v>32.608695652173914</v>
      </c>
      <c r="E23" s="68" t="s">
        <v>42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00000000-0004-0000-0300-000000000000}"/>
    <hyperlink ref="B13" location="Function2!A1" display="Function2" xr:uid="{00000000-0004-0000-0300-000001000000}"/>
    <hyperlink ref="B14" location="Function2!A1" display="Function2" xr:uid="{00000000-0004-0000-0300-000002000000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6"/>
  <sheetViews>
    <sheetView tabSelected="1" topLeftCell="A26" zoomScaleNormal="100" workbookViewId="0">
      <selection activeCell="V43" sqref="V43"/>
    </sheetView>
  </sheetViews>
  <sheetFormatPr defaultColWidth="11" defaultRowHeight="13.5" customHeight="1"/>
  <cols>
    <col min="1" max="1" width="8.125" style="85" customWidth="1"/>
    <col min="2" max="2" width="13.375" style="89" customWidth="1"/>
    <col min="3" max="3" width="10.875" style="85" customWidth="1"/>
    <col min="4" max="4" width="11.375" style="86" customWidth="1"/>
    <col min="5" max="5" width="1.875" style="85" hidden="1" customWidth="1"/>
    <col min="6" max="7" width="2.875" style="85" bestFit="1" customWidth="1"/>
    <col min="8" max="8" width="2.875" style="85" customWidth="1"/>
    <col min="9" max="10" width="2.875" style="85" bestFit="1" customWidth="1"/>
    <col min="11" max="19" width="2.875" style="85" customWidth="1"/>
    <col min="20" max="20" width="2.875" style="85" bestFit="1" customWidth="1"/>
    <col min="21" max="21" width="2.875" style="85" customWidth="1"/>
    <col min="22" max="16384" width="11" style="85"/>
  </cols>
  <sheetData>
    <row r="1" spans="1:23" ht="13.5" customHeight="1" thickBot="1">
      <c r="A1" s="83"/>
      <c r="B1" s="84"/>
    </row>
    <row r="2" spans="1:23" ht="13.5" customHeight="1">
      <c r="A2" s="315" t="s">
        <v>103</v>
      </c>
      <c r="B2" s="316"/>
      <c r="C2" s="317" t="str">
        <f>FunctionList!E11</f>
        <v>Function1</v>
      </c>
      <c r="D2" s="318"/>
      <c r="E2" s="319"/>
      <c r="F2" s="320" t="s">
        <v>25</v>
      </c>
      <c r="G2" s="321"/>
      <c r="H2" s="321"/>
      <c r="I2" s="321"/>
      <c r="J2" s="321"/>
      <c r="K2" s="321"/>
      <c r="L2" s="348" t="str">
        <f>FunctionList!D11</f>
        <v>Function A</v>
      </c>
      <c r="M2" s="349"/>
      <c r="N2" s="349"/>
      <c r="O2" s="349"/>
      <c r="P2" s="349"/>
      <c r="Q2" s="349"/>
      <c r="R2" s="349"/>
      <c r="S2" s="349"/>
      <c r="T2" s="350"/>
      <c r="V2" s="87"/>
    </row>
    <row r="3" spans="1:23" ht="13.5" customHeight="1">
      <c r="A3" s="328" t="s">
        <v>104</v>
      </c>
      <c r="B3" s="329"/>
      <c r="C3" s="335" t="s">
        <v>47</v>
      </c>
      <c r="D3" s="336"/>
      <c r="E3" s="337"/>
      <c r="F3" s="353" t="s">
        <v>105</v>
      </c>
      <c r="G3" s="354"/>
      <c r="H3" s="354"/>
      <c r="I3" s="354"/>
      <c r="J3" s="354"/>
      <c r="K3" s="355"/>
      <c r="L3" s="336"/>
      <c r="M3" s="336"/>
      <c r="N3" s="336"/>
      <c r="O3" s="189"/>
      <c r="P3" s="189"/>
      <c r="Q3" s="189"/>
      <c r="R3" s="189"/>
      <c r="S3" s="189"/>
      <c r="T3" s="190"/>
    </row>
    <row r="4" spans="1:23" ht="13.5" customHeight="1">
      <c r="A4" s="328" t="s">
        <v>106</v>
      </c>
      <c r="B4" s="329"/>
      <c r="C4" s="330">
        <v>100</v>
      </c>
      <c r="D4" s="331"/>
      <c r="E4" s="203"/>
      <c r="F4" s="353" t="s">
        <v>107</v>
      </c>
      <c r="G4" s="354"/>
      <c r="H4" s="354"/>
      <c r="I4" s="354"/>
      <c r="J4" s="354"/>
      <c r="K4" s="355"/>
      <c r="L4" s="356">
        <f xml:space="preserve"> IF(FunctionList!E6&lt;&gt;"N/A",SUM(C4*FunctionList!E6/1000,- O7),"N/A")</f>
        <v>-6</v>
      </c>
      <c r="M4" s="357"/>
      <c r="N4" s="357"/>
      <c r="O4" s="357"/>
      <c r="P4" s="357"/>
      <c r="Q4" s="357"/>
      <c r="R4" s="357"/>
      <c r="S4" s="357"/>
      <c r="T4" s="358"/>
      <c r="V4" s="87"/>
    </row>
    <row r="5" spans="1:23" ht="13.5" customHeight="1">
      <c r="A5" s="328" t="s">
        <v>108</v>
      </c>
      <c r="B5" s="329"/>
      <c r="C5" s="341" t="s">
        <v>102</v>
      </c>
      <c r="D5" s="341"/>
      <c r="E5" s="341"/>
      <c r="F5" s="342"/>
      <c r="G5" s="342"/>
      <c r="H5" s="342"/>
      <c r="I5" s="342"/>
      <c r="J5" s="342"/>
      <c r="K5" s="342"/>
      <c r="L5" s="341"/>
      <c r="M5" s="341"/>
      <c r="N5" s="341"/>
      <c r="O5" s="341"/>
      <c r="P5" s="341"/>
      <c r="Q5" s="341"/>
      <c r="R5" s="341"/>
      <c r="S5" s="341"/>
      <c r="T5" s="341"/>
    </row>
    <row r="6" spans="1:23" ht="13.5" customHeight="1">
      <c r="A6" s="339" t="s">
        <v>36</v>
      </c>
      <c r="B6" s="340"/>
      <c r="C6" s="351" t="s">
        <v>37</v>
      </c>
      <c r="D6" s="343"/>
      <c r="E6" s="352"/>
      <c r="F6" s="351" t="s">
        <v>38</v>
      </c>
      <c r="G6" s="343"/>
      <c r="H6" s="343"/>
      <c r="I6" s="343"/>
      <c r="J6" s="343"/>
      <c r="K6" s="359"/>
      <c r="L6" s="343" t="s">
        <v>109</v>
      </c>
      <c r="M6" s="343"/>
      <c r="N6" s="343"/>
      <c r="O6" s="346" t="s">
        <v>39</v>
      </c>
      <c r="P6" s="343"/>
      <c r="Q6" s="343"/>
      <c r="R6" s="343"/>
      <c r="S6" s="343"/>
      <c r="T6" s="347"/>
      <c r="V6" s="87"/>
    </row>
    <row r="7" spans="1:23" ht="13.5" customHeight="1" thickBot="1">
      <c r="A7" s="327">
        <f>COUNTIF(F53:HQ53,"P")</f>
        <v>0</v>
      </c>
      <c r="B7" s="326"/>
      <c r="C7" s="323">
        <f>COUNTIF(F53:HQ53,"F")</f>
        <v>0</v>
      </c>
      <c r="D7" s="324"/>
      <c r="E7" s="326"/>
      <c r="F7" s="323">
        <f>SUM(O7,- A7,- C7)</f>
        <v>16</v>
      </c>
      <c r="G7" s="324"/>
      <c r="H7" s="324"/>
      <c r="I7" s="324"/>
      <c r="J7" s="324"/>
      <c r="K7" s="325"/>
      <c r="L7" s="191">
        <f>COUNTIF(E52:HQ52,"N")</f>
        <v>4</v>
      </c>
      <c r="M7" s="191">
        <f>COUNTIF(E52:HQ52,"A")</f>
        <v>4</v>
      </c>
      <c r="N7" s="191">
        <f>COUNTIF(E52:HQ52,"B")</f>
        <v>8</v>
      </c>
      <c r="O7" s="344">
        <f>COUNTA(E9:HT9)</f>
        <v>16</v>
      </c>
      <c r="P7" s="324"/>
      <c r="Q7" s="324"/>
      <c r="R7" s="324"/>
      <c r="S7" s="324"/>
      <c r="T7" s="345"/>
      <c r="U7" s="88"/>
    </row>
    <row r="8" spans="1:23" ht="11.25" thickBot="1"/>
    <row r="9" spans="1:23" ht="46.5" customHeight="1" thickTop="1" thickBot="1">
      <c r="A9" s="243"/>
      <c r="B9" s="244"/>
      <c r="C9" s="245"/>
      <c r="D9" s="246"/>
      <c r="E9" s="245"/>
      <c r="F9" s="213" t="s">
        <v>48</v>
      </c>
      <c r="G9" s="213" t="s">
        <v>49</v>
      </c>
      <c r="H9" s="213" t="s">
        <v>50</v>
      </c>
      <c r="I9" s="213" t="s">
        <v>51</v>
      </c>
      <c r="J9" s="213" t="s">
        <v>52</v>
      </c>
      <c r="K9" s="213" t="s">
        <v>53</v>
      </c>
      <c r="L9" s="213" t="s">
        <v>54</v>
      </c>
      <c r="M9" s="213" t="s">
        <v>55</v>
      </c>
      <c r="N9" s="213" t="s">
        <v>56</v>
      </c>
      <c r="O9" s="213" t="s">
        <v>57</v>
      </c>
      <c r="P9" s="213" t="s">
        <v>58</v>
      </c>
      <c r="Q9" s="213" t="s">
        <v>59</v>
      </c>
      <c r="R9" s="213" t="s">
        <v>60</v>
      </c>
      <c r="S9" s="213" t="s">
        <v>61</v>
      </c>
      <c r="T9" s="214" t="s">
        <v>62</v>
      </c>
      <c r="U9" s="214" t="s">
        <v>182</v>
      </c>
      <c r="V9" s="91"/>
      <c r="W9" s="92"/>
    </row>
    <row r="10" spans="1:23" ht="13.5" customHeight="1">
      <c r="A10" s="224" t="s">
        <v>110</v>
      </c>
      <c r="B10" s="225" t="s">
        <v>111</v>
      </c>
      <c r="C10" s="226"/>
      <c r="D10" s="227"/>
      <c r="E10" s="98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20"/>
    </row>
    <row r="11" spans="1:23" ht="13.5" customHeight="1">
      <c r="A11" s="215"/>
      <c r="B11" s="93"/>
      <c r="C11" s="94"/>
      <c r="D11" s="95" t="s">
        <v>63</v>
      </c>
      <c r="E11" s="98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20"/>
      <c r="V11" s="87"/>
    </row>
    <row r="12" spans="1:23" ht="13.5" customHeight="1">
      <c r="A12" s="215"/>
      <c r="B12" s="93"/>
      <c r="C12" s="94"/>
      <c r="D12" s="95"/>
      <c r="E12" s="98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20"/>
    </row>
    <row r="13" spans="1:23" ht="13.5" customHeight="1">
      <c r="A13" s="215"/>
      <c r="B13" s="93"/>
      <c r="C13" s="94"/>
      <c r="D13" s="95"/>
      <c r="E13" s="99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20"/>
    </row>
    <row r="14" spans="1:23" ht="13.5" customHeight="1">
      <c r="A14" s="215"/>
      <c r="B14" s="93" t="s">
        <v>180</v>
      </c>
      <c r="C14" s="94"/>
      <c r="D14" s="95"/>
      <c r="E14" s="100"/>
      <c r="F14" s="120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20"/>
    </row>
    <row r="15" spans="1:23" ht="13.5" customHeight="1">
      <c r="A15" s="215"/>
      <c r="B15" s="93"/>
      <c r="C15" s="94"/>
      <c r="D15" s="95">
        <v>0</v>
      </c>
      <c r="E15" s="100"/>
      <c r="F15" s="97" t="s">
        <v>145</v>
      </c>
      <c r="G15" s="120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20"/>
    </row>
    <row r="16" spans="1:23" ht="13.5" customHeight="1">
      <c r="A16" s="215"/>
      <c r="B16" s="93"/>
      <c r="C16" s="94"/>
      <c r="D16" s="95">
        <v>1</v>
      </c>
      <c r="E16" s="100"/>
      <c r="F16" s="186"/>
      <c r="G16" s="120"/>
      <c r="H16" s="97" t="s">
        <v>145</v>
      </c>
      <c r="I16" s="97" t="s">
        <v>145</v>
      </c>
      <c r="J16" s="97" t="s">
        <v>145</v>
      </c>
      <c r="K16" s="97" t="s">
        <v>145</v>
      </c>
      <c r="L16" s="97" t="s">
        <v>145</v>
      </c>
      <c r="M16" s="186"/>
      <c r="N16" s="186"/>
      <c r="O16" s="186"/>
      <c r="P16" s="186"/>
      <c r="Q16" s="186"/>
      <c r="R16" s="186"/>
      <c r="S16" s="186"/>
      <c r="T16" s="186"/>
      <c r="U16" s="120"/>
    </row>
    <row r="17" spans="1:21" ht="13.5" customHeight="1">
      <c r="A17" s="215"/>
      <c r="B17" s="93"/>
      <c r="C17" s="94"/>
      <c r="D17" s="95">
        <v>28</v>
      </c>
      <c r="E17" s="100"/>
      <c r="F17" s="186"/>
      <c r="G17" s="186"/>
      <c r="H17" s="120"/>
      <c r="I17" s="120"/>
      <c r="J17" s="120"/>
      <c r="K17" s="120"/>
      <c r="L17" s="186"/>
      <c r="M17" s="186"/>
      <c r="N17" s="97"/>
      <c r="O17" s="186"/>
      <c r="P17" s="97" t="s">
        <v>145</v>
      </c>
      <c r="Q17" s="186"/>
      <c r="R17" s="186"/>
      <c r="S17" s="186"/>
      <c r="T17" s="186"/>
      <c r="U17" s="120"/>
    </row>
    <row r="18" spans="1:21" ht="13.5" customHeight="1">
      <c r="A18" s="215"/>
      <c r="B18" s="93"/>
      <c r="C18" s="94"/>
      <c r="D18" s="95">
        <v>29</v>
      </c>
      <c r="E18" s="100"/>
      <c r="F18" s="186"/>
      <c r="G18" s="186"/>
      <c r="H18" s="186"/>
      <c r="I18" s="120"/>
      <c r="J18" s="120"/>
      <c r="K18" s="120"/>
      <c r="L18" s="120"/>
      <c r="M18" s="120"/>
      <c r="N18" s="120"/>
      <c r="O18" s="97"/>
      <c r="P18" s="97"/>
      <c r="Q18" s="97" t="s">
        <v>145</v>
      </c>
      <c r="R18" s="97" t="s">
        <v>145</v>
      </c>
      <c r="S18" s="186"/>
      <c r="T18" s="97" t="s">
        <v>145</v>
      </c>
      <c r="U18" s="97" t="s">
        <v>145</v>
      </c>
    </row>
    <row r="19" spans="1:21" ht="13.5" customHeight="1">
      <c r="A19" s="215"/>
      <c r="B19" s="93"/>
      <c r="C19" s="94"/>
      <c r="D19" s="95">
        <v>30</v>
      </c>
      <c r="E19" s="100"/>
      <c r="F19" s="186"/>
      <c r="G19" s="186"/>
      <c r="H19" s="186"/>
      <c r="I19" s="120"/>
      <c r="J19" s="120"/>
      <c r="K19" s="120"/>
      <c r="L19" s="120"/>
      <c r="M19" s="186"/>
      <c r="N19" s="97" t="s">
        <v>145</v>
      </c>
      <c r="O19" s="186"/>
      <c r="P19" s="186"/>
      <c r="Q19" s="97"/>
      <c r="R19" s="97"/>
      <c r="S19" s="97" t="s">
        <v>145</v>
      </c>
      <c r="T19" s="186"/>
      <c r="U19" s="120"/>
    </row>
    <row r="20" spans="1:21" ht="13.5" customHeight="1">
      <c r="A20" s="215"/>
      <c r="B20" s="93"/>
      <c r="C20" s="94"/>
      <c r="D20" s="95">
        <v>31</v>
      </c>
      <c r="E20" s="100"/>
      <c r="F20" s="186"/>
      <c r="G20" s="186"/>
      <c r="H20" s="186"/>
      <c r="I20" s="120"/>
      <c r="J20" s="120"/>
      <c r="K20" s="120"/>
      <c r="L20" s="186"/>
      <c r="M20" s="97" t="s">
        <v>145</v>
      </c>
      <c r="N20" s="186"/>
      <c r="O20" s="97" t="s">
        <v>145</v>
      </c>
      <c r="P20" s="186"/>
      <c r="Q20" s="186"/>
      <c r="R20" s="186"/>
      <c r="S20" s="186"/>
      <c r="T20" s="186"/>
      <c r="U20" s="120"/>
    </row>
    <row r="21" spans="1:21" ht="13.5" customHeight="1">
      <c r="A21" s="215"/>
      <c r="B21" s="93"/>
      <c r="C21" s="94"/>
      <c r="D21" s="95">
        <v>32</v>
      </c>
      <c r="E21" s="100"/>
      <c r="F21" s="186"/>
      <c r="G21" s="97" t="s">
        <v>145</v>
      </c>
      <c r="H21" s="120"/>
      <c r="I21" s="120"/>
      <c r="J21" s="120"/>
      <c r="K21" s="120"/>
      <c r="L21" s="186"/>
      <c r="M21" s="186"/>
      <c r="N21" s="186"/>
      <c r="O21" s="186"/>
      <c r="P21" s="186"/>
      <c r="Q21" s="186"/>
      <c r="R21" s="186"/>
      <c r="S21" s="186"/>
      <c r="T21" s="186"/>
      <c r="U21" s="289"/>
    </row>
    <row r="22" spans="1:21" ht="13.5" customHeight="1">
      <c r="A22" s="215"/>
      <c r="B22" s="93"/>
      <c r="C22" s="94"/>
      <c r="D22" s="95"/>
      <c r="E22" s="100"/>
      <c r="F22" s="186"/>
      <c r="G22" s="186"/>
      <c r="H22" s="120"/>
      <c r="I22" s="120"/>
      <c r="J22" s="120"/>
      <c r="K22" s="120"/>
      <c r="L22" s="186"/>
      <c r="M22" s="186"/>
      <c r="N22" s="186"/>
      <c r="O22" s="186"/>
      <c r="P22" s="186"/>
      <c r="Q22" s="186"/>
      <c r="R22" s="186"/>
      <c r="S22" s="186"/>
      <c r="T22" s="186"/>
      <c r="U22" s="289"/>
    </row>
    <row r="23" spans="1:21" ht="13.5" customHeight="1">
      <c r="A23" s="215"/>
      <c r="B23" s="93" t="s">
        <v>177</v>
      </c>
      <c r="C23" s="94"/>
      <c r="D23" s="95"/>
      <c r="E23" s="100"/>
      <c r="F23" s="186"/>
      <c r="G23" s="186"/>
      <c r="H23" s="186"/>
      <c r="I23" s="120"/>
      <c r="J23" s="120"/>
      <c r="K23" s="120"/>
      <c r="L23" s="186"/>
      <c r="M23" s="186"/>
      <c r="N23" s="186"/>
      <c r="O23" s="186"/>
      <c r="P23" s="186"/>
      <c r="Q23" s="186"/>
      <c r="R23" s="186"/>
      <c r="S23" s="186"/>
      <c r="T23" s="186"/>
      <c r="U23" s="289"/>
    </row>
    <row r="24" spans="1:21" ht="13.5" customHeight="1">
      <c r="A24" s="215"/>
      <c r="B24" s="93"/>
      <c r="C24" s="94"/>
      <c r="D24" s="95">
        <v>0</v>
      </c>
      <c r="E24" s="100"/>
      <c r="F24" s="186"/>
      <c r="G24" s="186"/>
      <c r="H24" s="97" t="s">
        <v>145</v>
      </c>
      <c r="I24" s="120"/>
      <c r="J24" s="120"/>
      <c r="K24" s="120"/>
      <c r="L24" s="186"/>
      <c r="M24" s="186"/>
      <c r="N24" s="186"/>
      <c r="O24" s="186"/>
      <c r="P24" s="186"/>
      <c r="Q24" s="186"/>
      <c r="R24" s="186"/>
      <c r="S24" s="186"/>
      <c r="T24" s="186"/>
      <c r="U24" s="289"/>
    </row>
    <row r="25" spans="1:21" ht="13.5" customHeight="1">
      <c r="A25" s="215"/>
      <c r="B25" s="93"/>
      <c r="C25" s="94"/>
      <c r="D25" s="95">
        <v>1</v>
      </c>
      <c r="E25" s="100"/>
      <c r="F25" s="97" t="s">
        <v>145</v>
      </c>
      <c r="G25" s="97" t="s">
        <v>145</v>
      </c>
      <c r="H25" s="97"/>
      <c r="I25" s="120"/>
      <c r="J25" s="97" t="s">
        <v>145</v>
      </c>
      <c r="K25" s="97" t="s">
        <v>145</v>
      </c>
      <c r="L25" s="97" t="s">
        <v>145</v>
      </c>
      <c r="M25" s="186"/>
      <c r="N25" s="186"/>
      <c r="O25" s="186"/>
      <c r="P25" s="186"/>
      <c r="Q25" s="186"/>
      <c r="R25" s="186"/>
      <c r="S25" s="186"/>
      <c r="T25" s="186"/>
      <c r="U25" s="289"/>
    </row>
    <row r="26" spans="1:21" ht="13.5" customHeight="1">
      <c r="A26" s="215"/>
      <c r="B26" s="93"/>
      <c r="C26" s="94"/>
      <c r="D26" s="95">
        <v>2</v>
      </c>
      <c r="E26" s="100"/>
      <c r="F26" s="186"/>
      <c r="G26" s="186"/>
      <c r="H26" s="186"/>
      <c r="I26" s="120"/>
      <c r="J26" s="120"/>
      <c r="K26" s="120"/>
      <c r="L26" s="186"/>
      <c r="M26" s="186"/>
      <c r="N26" s="120"/>
      <c r="O26" s="120"/>
      <c r="P26" s="97" t="s">
        <v>145</v>
      </c>
      <c r="Q26" s="97" t="s">
        <v>145</v>
      </c>
      <c r="R26" s="97" t="s">
        <v>145</v>
      </c>
      <c r="S26" s="97" t="s">
        <v>145</v>
      </c>
      <c r="T26" s="97" t="s">
        <v>145</v>
      </c>
      <c r="U26" s="97" t="s">
        <v>145</v>
      </c>
    </row>
    <row r="27" spans="1:21" ht="13.5" customHeight="1">
      <c r="A27" s="215"/>
      <c r="B27" s="93"/>
      <c r="C27" s="94"/>
      <c r="D27" s="338">
        <v>4</v>
      </c>
      <c r="E27" s="338"/>
      <c r="F27" s="186"/>
      <c r="G27" s="186"/>
      <c r="H27" s="186"/>
      <c r="I27" s="120"/>
      <c r="J27" s="120"/>
      <c r="K27" s="120"/>
      <c r="L27" s="97"/>
      <c r="M27" s="120"/>
      <c r="N27" s="97" t="s">
        <v>145</v>
      </c>
      <c r="O27" s="97" t="s">
        <v>145</v>
      </c>
      <c r="P27" s="186"/>
      <c r="Q27" s="186"/>
      <c r="R27" s="186"/>
      <c r="S27" s="186"/>
      <c r="T27" s="186"/>
      <c r="U27" s="120"/>
    </row>
    <row r="28" spans="1:21" ht="13.5" customHeight="1">
      <c r="A28" s="215"/>
      <c r="B28" s="93"/>
      <c r="C28" s="94"/>
      <c r="D28" s="95">
        <v>12</v>
      </c>
      <c r="E28" s="100"/>
      <c r="F28" s="186"/>
      <c r="G28" s="186"/>
      <c r="H28" s="186"/>
      <c r="I28" s="120"/>
      <c r="J28" s="120"/>
      <c r="K28" s="120"/>
      <c r="L28" s="186"/>
      <c r="M28" s="97" t="s">
        <v>145</v>
      </c>
      <c r="N28" s="186"/>
      <c r="O28" s="186"/>
      <c r="P28" s="186"/>
      <c r="Q28" s="186"/>
      <c r="R28" s="186"/>
      <c r="S28" s="186"/>
      <c r="T28" s="186"/>
      <c r="U28" s="120"/>
    </row>
    <row r="29" spans="1:21" ht="13.5" customHeight="1">
      <c r="A29" s="215"/>
      <c r="B29" s="93"/>
      <c r="C29" s="94"/>
      <c r="D29" s="95">
        <v>13</v>
      </c>
      <c r="E29" s="100"/>
      <c r="F29" s="186"/>
      <c r="G29" s="186"/>
      <c r="H29" s="186"/>
      <c r="I29" s="97" t="s">
        <v>145</v>
      </c>
      <c r="J29" s="120"/>
      <c r="K29" s="120"/>
      <c r="L29" s="186"/>
      <c r="M29" s="186"/>
      <c r="N29" s="186"/>
      <c r="O29" s="186"/>
      <c r="P29" s="186"/>
      <c r="Q29" s="186"/>
      <c r="R29" s="186"/>
      <c r="S29" s="186"/>
      <c r="T29" s="186"/>
      <c r="U29" s="120"/>
    </row>
    <row r="30" spans="1:21" ht="13.5" customHeight="1">
      <c r="A30" s="215"/>
      <c r="B30" s="93"/>
      <c r="C30" s="94"/>
      <c r="D30" s="95"/>
      <c r="E30" s="100"/>
      <c r="F30" s="186"/>
      <c r="G30" s="186"/>
      <c r="H30" s="186"/>
      <c r="I30" s="186"/>
      <c r="J30" s="120"/>
      <c r="K30" s="120"/>
      <c r="L30" s="186"/>
      <c r="M30" s="186"/>
      <c r="N30" s="186"/>
      <c r="O30" s="186"/>
      <c r="P30" s="186"/>
      <c r="Q30" s="186"/>
      <c r="R30" s="186"/>
      <c r="S30" s="186"/>
      <c r="T30" s="186"/>
      <c r="U30" s="120"/>
    </row>
    <row r="31" spans="1:21" ht="13.5" customHeight="1">
      <c r="A31" s="215"/>
      <c r="B31" s="93"/>
      <c r="C31" s="94"/>
      <c r="D31" s="95"/>
      <c r="E31" s="100"/>
      <c r="F31" s="186"/>
      <c r="G31" s="186"/>
      <c r="H31" s="186"/>
      <c r="I31" s="186"/>
      <c r="J31" s="120"/>
      <c r="K31" s="120"/>
      <c r="L31" s="186"/>
      <c r="M31" s="186"/>
      <c r="N31" s="186"/>
      <c r="O31" s="186"/>
      <c r="P31" s="186"/>
      <c r="Q31" s="186"/>
      <c r="R31" s="186"/>
      <c r="S31" s="186"/>
      <c r="T31" s="186"/>
      <c r="U31" s="120"/>
    </row>
    <row r="32" spans="1:21" ht="13.5" customHeight="1">
      <c r="A32" s="215"/>
      <c r="B32" s="93"/>
      <c r="C32" s="94"/>
      <c r="D32" s="95"/>
      <c r="E32" s="100"/>
      <c r="F32" s="186"/>
      <c r="G32" s="186"/>
      <c r="H32" s="186"/>
      <c r="I32" s="120"/>
      <c r="J32" s="120"/>
      <c r="K32" s="120"/>
      <c r="L32" s="186"/>
      <c r="M32" s="186"/>
      <c r="N32" s="186"/>
      <c r="O32" s="186"/>
      <c r="P32" s="186"/>
      <c r="Q32" s="186"/>
      <c r="R32" s="186"/>
      <c r="S32" s="186"/>
      <c r="T32" s="186"/>
      <c r="U32" s="120"/>
    </row>
    <row r="33" spans="1:21" ht="13.5" customHeight="1">
      <c r="A33" s="215"/>
      <c r="B33" s="93" t="s">
        <v>178</v>
      </c>
      <c r="C33" s="94"/>
      <c r="D33" s="95"/>
      <c r="E33" s="100"/>
      <c r="F33" s="186"/>
      <c r="G33" s="186"/>
      <c r="H33" s="186"/>
      <c r="I33" s="120"/>
      <c r="J33" s="120"/>
      <c r="K33" s="120"/>
      <c r="L33" s="186"/>
      <c r="M33" s="186"/>
      <c r="N33" s="186"/>
      <c r="O33" s="186"/>
      <c r="P33" s="186"/>
      <c r="Q33" s="186"/>
      <c r="R33" s="186"/>
      <c r="S33" s="186"/>
      <c r="T33" s="186"/>
      <c r="U33" s="120"/>
    </row>
    <row r="34" spans="1:21" ht="13.5" customHeight="1">
      <c r="A34" s="215"/>
      <c r="B34" s="93"/>
      <c r="C34" s="94"/>
      <c r="D34" s="95">
        <v>999</v>
      </c>
      <c r="E34" s="100"/>
      <c r="F34" s="186"/>
      <c r="G34" s="186"/>
      <c r="H34" s="186"/>
      <c r="I34" s="186"/>
      <c r="J34" s="97" t="s">
        <v>145</v>
      </c>
      <c r="K34" s="120"/>
      <c r="L34" s="186"/>
      <c r="M34" s="186"/>
      <c r="N34" s="186"/>
      <c r="O34" s="186"/>
      <c r="P34" s="186"/>
      <c r="Q34" s="186"/>
      <c r="R34" s="186"/>
      <c r="S34" s="186"/>
      <c r="T34" s="186"/>
      <c r="U34" s="120"/>
    </row>
    <row r="35" spans="1:21" ht="13.5" customHeight="1">
      <c r="A35" s="215"/>
      <c r="B35" s="93"/>
      <c r="C35" s="94"/>
      <c r="D35" s="95">
        <v>1000</v>
      </c>
      <c r="E35" s="100"/>
      <c r="F35" s="186"/>
      <c r="G35" s="186"/>
      <c r="H35" s="186"/>
      <c r="I35" s="120"/>
      <c r="J35" s="120"/>
      <c r="K35" s="120"/>
      <c r="L35" s="97" t="s">
        <v>145</v>
      </c>
      <c r="M35" s="186"/>
      <c r="N35" s="186"/>
      <c r="O35" s="186"/>
      <c r="P35" s="186"/>
      <c r="Q35" s="186"/>
      <c r="R35" s="186"/>
      <c r="S35" s="186"/>
      <c r="T35" s="186"/>
      <c r="U35" s="120"/>
    </row>
    <row r="36" spans="1:21" ht="13.5" customHeight="1">
      <c r="A36" s="215"/>
      <c r="B36" s="93"/>
      <c r="C36" s="94"/>
      <c r="D36" s="95">
        <v>2000</v>
      </c>
      <c r="E36" s="100"/>
      <c r="F36" s="186"/>
      <c r="G36" s="186"/>
      <c r="H36" s="186"/>
      <c r="I36" s="120"/>
      <c r="J36" s="120"/>
      <c r="K36" s="120"/>
      <c r="L36" s="186"/>
      <c r="M36" s="186"/>
      <c r="N36" s="186"/>
      <c r="O36" s="186"/>
      <c r="P36" s="186"/>
      <c r="Q36" s="186"/>
      <c r="R36" s="186"/>
      <c r="S36" s="186"/>
      <c r="T36" s="186"/>
      <c r="U36" s="97" t="s">
        <v>145</v>
      </c>
    </row>
    <row r="37" spans="1:21" ht="13.5" customHeight="1">
      <c r="A37" s="215"/>
      <c r="B37" s="93"/>
      <c r="C37" s="94"/>
      <c r="D37" s="95">
        <v>2020</v>
      </c>
      <c r="E37" s="100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97"/>
      <c r="Q37" s="97"/>
      <c r="R37" s="97" t="s">
        <v>145</v>
      </c>
      <c r="S37" s="97" t="s">
        <v>145</v>
      </c>
      <c r="T37" s="186"/>
      <c r="U37" s="120"/>
    </row>
    <row r="38" spans="1:21" ht="13.5" customHeight="1">
      <c r="A38" s="215"/>
      <c r="B38" s="93"/>
      <c r="C38" s="94"/>
      <c r="D38" s="95">
        <v>2021</v>
      </c>
      <c r="E38" s="100">
        <v>3001</v>
      </c>
      <c r="F38" s="97" t="s">
        <v>145</v>
      </c>
      <c r="G38" s="97" t="s">
        <v>145</v>
      </c>
      <c r="H38" s="97" t="s">
        <v>145</v>
      </c>
      <c r="I38" s="97" t="s">
        <v>145</v>
      </c>
      <c r="J38" s="186"/>
      <c r="K38" s="186"/>
      <c r="L38" s="120"/>
      <c r="M38" s="120"/>
      <c r="N38" s="97" t="s">
        <v>145</v>
      </c>
      <c r="O38" s="97" t="s">
        <v>145</v>
      </c>
      <c r="P38" s="97" t="s">
        <v>145</v>
      </c>
      <c r="Q38" s="97" t="s">
        <v>145</v>
      </c>
      <c r="R38" s="186"/>
      <c r="S38" s="186"/>
      <c r="T38" s="186"/>
      <c r="U38" s="120"/>
    </row>
    <row r="39" spans="1:21" ht="13.5" customHeight="1">
      <c r="A39" s="215"/>
      <c r="B39" s="93"/>
      <c r="C39" s="94"/>
      <c r="D39" s="95">
        <v>2100</v>
      </c>
      <c r="E39" s="100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97" t="s">
        <v>145</v>
      </c>
      <c r="U39" s="120"/>
    </row>
    <row r="40" spans="1:21" ht="13.5" customHeight="1">
      <c r="A40" s="215"/>
      <c r="B40" s="93"/>
      <c r="C40" s="94"/>
      <c r="D40" s="95">
        <v>3000</v>
      </c>
      <c r="E40" s="100"/>
      <c r="F40" s="186"/>
      <c r="G40" s="186"/>
      <c r="H40" s="186"/>
      <c r="I40" s="186"/>
      <c r="J40" s="186"/>
      <c r="K40" s="186"/>
      <c r="L40" s="186"/>
      <c r="M40" s="97" t="s">
        <v>145</v>
      </c>
      <c r="N40" s="186"/>
      <c r="O40" s="186"/>
      <c r="P40" s="186"/>
      <c r="Q40" s="186"/>
      <c r="R40" s="186"/>
      <c r="S40" s="186"/>
      <c r="T40" s="186"/>
      <c r="U40" s="120"/>
    </row>
    <row r="41" spans="1:21" ht="13.5" customHeight="1">
      <c r="A41" s="215"/>
      <c r="B41" s="93"/>
      <c r="C41" s="94"/>
      <c r="D41" s="95">
        <v>3001</v>
      </c>
      <c r="E41" s="100"/>
      <c r="F41" s="186"/>
      <c r="G41" s="186"/>
      <c r="H41" s="186"/>
      <c r="I41" s="186"/>
      <c r="J41" s="186"/>
      <c r="K41" s="97" t="s">
        <v>145</v>
      </c>
      <c r="L41" s="186"/>
      <c r="M41" s="186"/>
      <c r="N41" s="186"/>
      <c r="O41" s="186"/>
      <c r="P41" s="186"/>
      <c r="Q41" s="186"/>
      <c r="R41" s="186"/>
      <c r="S41" s="186"/>
      <c r="T41" s="186"/>
      <c r="U41" s="120"/>
    </row>
    <row r="42" spans="1:21" ht="13.5" customHeight="1">
      <c r="A42" s="215"/>
      <c r="B42" s="93"/>
      <c r="C42" s="94"/>
      <c r="D42" s="95"/>
      <c r="E42" s="100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20"/>
    </row>
    <row r="43" spans="1:21" ht="13.5" customHeight="1" thickBot="1">
      <c r="A43" s="215"/>
      <c r="B43" s="102"/>
      <c r="C43" s="103"/>
      <c r="D43" s="104"/>
      <c r="E43" s="105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20"/>
    </row>
    <row r="44" spans="1:21" ht="13.5" customHeight="1" thickTop="1">
      <c r="A44" s="223" t="s">
        <v>114</v>
      </c>
      <c r="B44" s="107" t="s">
        <v>115</v>
      </c>
      <c r="C44" s="108"/>
      <c r="D44" s="109"/>
      <c r="E44" s="281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20"/>
    </row>
    <row r="45" spans="1:21" ht="13.5" customHeight="1">
      <c r="A45" s="222"/>
      <c r="B45" s="112"/>
      <c r="C45" s="113"/>
      <c r="D45" s="114" t="s">
        <v>179</v>
      </c>
      <c r="E45" s="282"/>
      <c r="F45" s="97"/>
      <c r="G45" s="186"/>
      <c r="H45" s="186"/>
      <c r="I45" s="120"/>
      <c r="J45" s="120"/>
      <c r="K45" s="186"/>
      <c r="L45" s="97" t="s">
        <v>145</v>
      </c>
      <c r="M45" s="97" t="s">
        <v>145</v>
      </c>
      <c r="N45" s="97" t="s">
        <v>145</v>
      </c>
      <c r="O45" s="186"/>
      <c r="P45" s="97" t="s">
        <v>145</v>
      </c>
      <c r="Q45" s="186"/>
      <c r="R45" s="97" t="s">
        <v>145</v>
      </c>
      <c r="T45" s="186"/>
      <c r="U45" s="97" t="s">
        <v>145</v>
      </c>
    </row>
    <row r="46" spans="1:21" ht="13.5" customHeight="1">
      <c r="A46" s="222"/>
      <c r="B46" s="112"/>
      <c r="C46" s="187"/>
      <c r="D46" s="114" t="s">
        <v>77</v>
      </c>
      <c r="E46" s="283"/>
      <c r="F46" s="97" t="s">
        <v>145</v>
      </c>
      <c r="G46" s="97" t="s">
        <v>145</v>
      </c>
      <c r="H46" s="97" t="s">
        <v>145</v>
      </c>
      <c r="I46" s="97" t="s">
        <v>145</v>
      </c>
      <c r="J46" s="97" t="s">
        <v>145</v>
      </c>
      <c r="K46" s="97" t="s">
        <v>145</v>
      </c>
      <c r="L46" s="186"/>
      <c r="M46" s="120"/>
      <c r="N46" s="186"/>
      <c r="O46" s="97" t="s">
        <v>145</v>
      </c>
      <c r="P46" s="186"/>
      <c r="Q46" s="97" t="s">
        <v>145</v>
      </c>
      <c r="R46" s="97"/>
      <c r="S46" s="97" t="s">
        <v>145</v>
      </c>
      <c r="T46" s="97" t="s">
        <v>145</v>
      </c>
      <c r="U46" s="120"/>
    </row>
    <row r="47" spans="1:21" ht="13.5" customHeight="1">
      <c r="A47" s="222"/>
      <c r="B47" s="112" t="s">
        <v>116</v>
      </c>
      <c r="C47" s="187"/>
      <c r="D47" s="114"/>
      <c r="E47" s="283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20"/>
    </row>
    <row r="48" spans="1:21" ht="13.5" customHeight="1">
      <c r="A48" s="222"/>
      <c r="B48" s="112"/>
      <c r="C48" s="187"/>
      <c r="D48" s="114"/>
      <c r="E48" s="283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20"/>
    </row>
    <row r="49" spans="1:21" ht="13.5" customHeight="1">
      <c r="A49" s="222"/>
      <c r="B49" s="112" t="s">
        <v>117</v>
      </c>
      <c r="C49" s="187"/>
      <c r="D49" s="114"/>
      <c r="E49" s="283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20"/>
    </row>
    <row r="50" spans="1:21" ht="13.5" customHeight="1">
      <c r="A50" s="222"/>
      <c r="B50" s="112"/>
      <c r="C50" s="187"/>
      <c r="D50" s="114" t="s">
        <v>68</v>
      </c>
      <c r="E50" s="283"/>
      <c r="F50" s="186"/>
      <c r="G50" s="186"/>
      <c r="H50" s="186"/>
      <c r="I50" s="186"/>
      <c r="J50" s="186"/>
      <c r="K50" s="186"/>
      <c r="L50" s="97" t="s">
        <v>145</v>
      </c>
      <c r="M50" s="97" t="s">
        <v>145</v>
      </c>
      <c r="N50" s="97" t="s">
        <v>145</v>
      </c>
      <c r="O50" s="186"/>
      <c r="P50" s="97" t="s">
        <v>145</v>
      </c>
      <c r="Q50" s="186"/>
      <c r="R50" s="97" t="s">
        <v>145</v>
      </c>
      <c r="S50" s="97" t="s">
        <v>145</v>
      </c>
      <c r="T50" s="186"/>
      <c r="U50" s="97" t="s">
        <v>145</v>
      </c>
    </row>
    <row r="51" spans="1:21" ht="13.5" customHeight="1" thickBot="1">
      <c r="A51" s="222"/>
      <c r="B51" s="204"/>
      <c r="C51" s="205"/>
      <c r="D51" s="206" t="s">
        <v>69</v>
      </c>
      <c r="E51" s="284"/>
      <c r="F51" s="97" t="s">
        <v>145</v>
      </c>
      <c r="G51" s="97" t="s">
        <v>145</v>
      </c>
      <c r="H51" s="97" t="s">
        <v>145</v>
      </c>
      <c r="I51" s="97" t="s">
        <v>145</v>
      </c>
      <c r="J51" s="97" t="s">
        <v>145</v>
      </c>
      <c r="K51" s="97" t="s">
        <v>145</v>
      </c>
      <c r="L51" s="186"/>
      <c r="M51" s="186"/>
      <c r="N51" s="186"/>
      <c r="O51" s="97" t="s">
        <v>145</v>
      </c>
      <c r="P51" s="186"/>
      <c r="Q51" s="97" t="s">
        <v>145</v>
      </c>
      <c r="R51" s="186"/>
      <c r="S51" s="186"/>
      <c r="T51" s="97" t="s">
        <v>145</v>
      </c>
      <c r="U51" s="120"/>
    </row>
    <row r="52" spans="1:21" ht="13.5" customHeight="1" thickTop="1">
      <c r="A52" s="223" t="s">
        <v>70</v>
      </c>
      <c r="B52" s="334" t="s">
        <v>71</v>
      </c>
      <c r="C52" s="334"/>
      <c r="D52" s="334"/>
      <c r="E52" s="285"/>
      <c r="F52" s="188" t="s">
        <v>73</v>
      </c>
      <c r="G52" s="188" t="s">
        <v>73</v>
      </c>
      <c r="H52" s="188" t="s">
        <v>73</v>
      </c>
      <c r="I52" s="188" t="s">
        <v>73</v>
      </c>
      <c r="J52" s="188" t="s">
        <v>73</v>
      </c>
      <c r="K52" s="188" t="s">
        <v>73</v>
      </c>
      <c r="L52" s="188" t="s">
        <v>73</v>
      </c>
      <c r="M52" s="188" t="s">
        <v>73</v>
      </c>
      <c r="N52" s="188" t="s">
        <v>72</v>
      </c>
      <c r="O52" s="188" t="s">
        <v>74</v>
      </c>
      <c r="P52" s="188" t="s">
        <v>72</v>
      </c>
      <c r="Q52" s="188" t="s">
        <v>74</v>
      </c>
      <c r="R52" s="188" t="s">
        <v>72</v>
      </c>
      <c r="S52" s="188" t="s">
        <v>74</v>
      </c>
      <c r="T52" s="188" t="s">
        <v>74</v>
      </c>
      <c r="U52" s="188" t="s">
        <v>72</v>
      </c>
    </row>
    <row r="53" spans="1:21" ht="13.5" customHeight="1">
      <c r="A53" s="222"/>
      <c r="B53" s="322" t="s">
        <v>75</v>
      </c>
      <c r="C53" s="322"/>
      <c r="D53" s="322"/>
      <c r="E53" s="286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20"/>
    </row>
    <row r="54" spans="1:21" ht="54.75" customHeight="1">
      <c r="A54" s="222"/>
      <c r="B54" s="332" t="s">
        <v>78</v>
      </c>
      <c r="C54" s="332"/>
      <c r="D54" s="332"/>
      <c r="E54" s="287"/>
      <c r="F54" s="121">
        <v>39139</v>
      </c>
      <c r="G54" s="121">
        <v>39139</v>
      </c>
      <c r="H54" s="121">
        <v>39140</v>
      </c>
      <c r="I54" s="121">
        <v>39141</v>
      </c>
      <c r="J54" s="121">
        <v>39142</v>
      </c>
      <c r="K54" s="121">
        <v>39143</v>
      </c>
      <c r="L54" s="121">
        <v>39144</v>
      </c>
      <c r="M54" s="121">
        <v>39145</v>
      </c>
      <c r="N54" s="121">
        <v>39146</v>
      </c>
      <c r="O54" s="121">
        <v>39147</v>
      </c>
      <c r="P54" s="121">
        <v>39148</v>
      </c>
      <c r="Q54" s="121">
        <v>39149</v>
      </c>
      <c r="R54" s="121">
        <v>39150</v>
      </c>
      <c r="S54" s="121">
        <v>39151</v>
      </c>
      <c r="T54" s="121">
        <v>39152</v>
      </c>
      <c r="U54" s="120"/>
    </row>
    <row r="55" spans="1:21" ht="75.75" thickBot="1">
      <c r="A55" s="242"/>
      <c r="B55" s="333" t="s">
        <v>79</v>
      </c>
      <c r="C55" s="333"/>
      <c r="D55" s="333"/>
      <c r="E55" s="288"/>
      <c r="F55" s="280"/>
      <c r="G55" s="280"/>
      <c r="H55" s="280"/>
      <c r="I55" s="280"/>
      <c r="J55" s="280"/>
      <c r="K55" s="280" t="s">
        <v>80</v>
      </c>
      <c r="L55" s="280" t="s">
        <v>81</v>
      </c>
      <c r="M55" s="280" t="s">
        <v>82</v>
      </c>
      <c r="N55" s="280" t="s">
        <v>83</v>
      </c>
      <c r="O55" s="280" t="s">
        <v>84</v>
      </c>
      <c r="P55" s="280" t="s">
        <v>85</v>
      </c>
      <c r="Q55" s="280" t="s">
        <v>86</v>
      </c>
      <c r="R55" s="280" t="s">
        <v>87</v>
      </c>
      <c r="S55" s="280" t="s">
        <v>88</v>
      </c>
      <c r="T55" s="280" t="s">
        <v>89</v>
      </c>
      <c r="U55" s="120"/>
    </row>
    <row r="56" spans="1:21" ht="11.25" thickTop="1">
      <c r="A56" s="209"/>
    </row>
  </sheetData>
  <mergeCells count="28">
    <mergeCell ref="L2:T2"/>
    <mergeCell ref="L3:N3"/>
    <mergeCell ref="C6:E6"/>
    <mergeCell ref="F3:K3"/>
    <mergeCell ref="L4:T4"/>
    <mergeCell ref="F6:K6"/>
    <mergeCell ref="F4:K4"/>
    <mergeCell ref="B54:D54"/>
    <mergeCell ref="B55:D55"/>
    <mergeCell ref="B52:D52"/>
    <mergeCell ref="C3:E3"/>
    <mergeCell ref="D27:E27"/>
    <mergeCell ref="A6:B6"/>
    <mergeCell ref="A5:B5"/>
    <mergeCell ref="C5:T5"/>
    <mergeCell ref="L6:N6"/>
    <mergeCell ref="O7:T7"/>
    <mergeCell ref="O6:T6"/>
    <mergeCell ref="A2:B2"/>
    <mergeCell ref="C2:E2"/>
    <mergeCell ref="F2:K2"/>
    <mergeCell ref="B53:D53"/>
    <mergeCell ref="F7:K7"/>
    <mergeCell ref="C7:E7"/>
    <mergeCell ref="A7:B7"/>
    <mergeCell ref="A3:B3"/>
    <mergeCell ref="A4:B4"/>
    <mergeCell ref="C4:D4"/>
  </mergeCells>
  <phoneticPr fontId="34" type="noConversion"/>
  <dataValidations count="3">
    <dataValidation type="list" allowBlank="1" showInputMessage="1" showErrorMessage="1" sqref="F52:U52" xr:uid="{00000000-0002-0000-0400-000000000000}">
      <formula1>"N,A,B, "</formula1>
    </dataValidation>
    <dataValidation type="list" allowBlank="1" showInputMessage="1" showErrorMessage="1" sqref="F53:T53" xr:uid="{00000000-0002-0000-0400-000001000000}">
      <formula1>"P,F, "</formula1>
    </dataValidation>
    <dataValidation type="list" allowBlank="1" showInputMessage="1" showErrorMessage="1" sqref="U36 N38:T38 J25:K25 I34:J34 I29:I31 F18:H20 H45 F15:F16 F21:G22 F23:H36 F17:G17 G10:T14 F10:F13 F45:G46 H15:T16 M19:T19 F37:T37 F38:K38 L27 L28:M28 L29:T36 N27:T28 F39:T44 H46:L46 P26:U26 L17:T17 L26:M26 L20:T25 O18:U18 F47:T51 U50 N46:T46 K45:R45 T45:U45" xr:uid="{00000000-0002-0000-04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0"/>
  <sheetViews>
    <sheetView topLeftCell="A13" zoomScale="130" zoomScaleNormal="130" workbookViewId="0">
      <selection activeCell="V13" sqref="V12:V13"/>
    </sheetView>
  </sheetViews>
  <sheetFormatPr defaultColWidth="11" defaultRowHeight="13.5" customHeight="1"/>
  <cols>
    <col min="1" max="1" width="8.125" style="85" customWidth="1"/>
    <col min="2" max="2" width="13.375" style="89" customWidth="1"/>
    <col min="3" max="3" width="10.875" style="85" customWidth="1"/>
    <col min="4" max="4" width="11.375" style="86" customWidth="1"/>
    <col min="5" max="5" width="1.875" style="85" hidden="1" customWidth="1"/>
    <col min="6" max="7" width="2.875" style="85" bestFit="1" customWidth="1"/>
    <col min="8" max="8" width="2.875" style="85" customWidth="1"/>
    <col min="9" max="10" width="2.875" style="85" bestFit="1" customWidth="1"/>
    <col min="11" max="19" width="2.875" style="85" customWidth="1"/>
    <col min="20" max="20" width="2.875" style="85" bestFit="1" customWidth="1"/>
    <col min="21" max="21" width="2.875" style="85" customWidth="1"/>
    <col min="22" max="16384" width="11" style="85"/>
  </cols>
  <sheetData>
    <row r="1" spans="1:23" ht="22.5" customHeight="1" thickBot="1">
      <c r="A1" s="92"/>
      <c r="B1" s="192"/>
      <c r="D1" s="193"/>
    </row>
    <row r="2" spans="1:23" ht="15" customHeight="1">
      <c r="A2" s="360" t="s">
        <v>103</v>
      </c>
      <c r="B2" s="361"/>
      <c r="C2" s="362" t="str">
        <f>FunctionList!E12</f>
        <v>Function2</v>
      </c>
      <c r="D2" s="364"/>
      <c r="E2" s="194"/>
      <c r="F2" s="361" t="s">
        <v>25</v>
      </c>
      <c r="G2" s="361"/>
      <c r="H2" s="361"/>
      <c r="I2" s="361"/>
      <c r="J2" s="361"/>
      <c r="K2" s="361"/>
      <c r="L2" s="362" t="str">
        <f>FunctionList!D12</f>
        <v>Function B</v>
      </c>
      <c r="M2" s="362"/>
      <c r="N2" s="362"/>
      <c r="O2" s="362"/>
      <c r="P2" s="362"/>
      <c r="Q2" s="362"/>
      <c r="R2" s="362"/>
      <c r="S2" s="362"/>
      <c r="T2" s="363"/>
    </row>
    <row r="3" spans="1:23" ht="13.5" customHeight="1">
      <c r="A3" s="368" t="s">
        <v>104</v>
      </c>
      <c r="B3" s="369"/>
      <c r="C3" s="335" t="s">
        <v>47</v>
      </c>
      <c r="D3" s="336"/>
      <c r="E3" s="337"/>
      <c r="F3" s="365" t="s">
        <v>105</v>
      </c>
      <c r="G3" s="366"/>
      <c r="H3" s="366"/>
      <c r="I3" s="366"/>
      <c r="J3" s="366"/>
      <c r="K3" s="367"/>
      <c r="L3" s="336"/>
      <c r="M3" s="336"/>
      <c r="N3" s="336"/>
      <c r="O3" s="189"/>
      <c r="P3" s="189"/>
      <c r="Q3" s="189"/>
      <c r="R3" s="189"/>
      <c r="S3" s="189"/>
      <c r="T3" s="190"/>
    </row>
    <row r="4" spans="1:23" ht="13.5" customHeight="1">
      <c r="A4" s="328" t="s">
        <v>106</v>
      </c>
      <c r="B4" s="329"/>
      <c r="C4" s="330">
        <v>300</v>
      </c>
      <c r="D4" s="331"/>
      <c r="E4" s="203"/>
      <c r="F4" s="353" t="s">
        <v>107</v>
      </c>
      <c r="G4" s="354"/>
      <c r="H4" s="354"/>
      <c r="I4" s="354"/>
      <c r="J4" s="354"/>
      <c r="K4" s="355"/>
      <c r="L4" s="356">
        <f xml:space="preserve"> IF(FunctionList!E6&lt;&gt;"N/A",SUM(C4*FunctionList!E6/1000,- O7),"N/A")</f>
        <v>15</v>
      </c>
      <c r="M4" s="357"/>
      <c r="N4" s="357"/>
      <c r="O4" s="357"/>
      <c r="P4" s="357"/>
      <c r="Q4" s="357"/>
      <c r="R4" s="357"/>
      <c r="S4" s="357"/>
      <c r="T4" s="358"/>
      <c r="V4" s="87"/>
    </row>
    <row r="5" spans="1:23" ht="13.5" customHeight="1">
      <c r="A5" s="328" t="s">
        <v>108</v>
      </c>
      <c r="B5" s="329"/>
      <c r="C5" s="341" t="s">
        <v>102</v>
      </c>
      <c r="D5" s="341"/>
      <c r="E5" s="341"/>
      <c r="F5" s="342"/>
      <c r="G5" s="342"/>
      <c r="H5" s="342"/>
      <c r="I5" s="342"/>
      <c r="J5" s="342"/>
      <c r="K5" s="342"/>
      <c r="L5" s="341"/>
      <c r="M5" s="341"/>
      <c r="N5" s="341"/>
      <c r="O5" s="341"/>
      <c r="P5" s="341"/>
      <c r="Q5" s="341"/>
      <c r="R5" s="341"/>
      <c r="S5" s="341"/>
      <c r="T5" s="341"/>
    </row>
    <row r="6" spans="1:23" ht="13.5" customHeight="1">
      <c r="A6" s="339" t="s">
        <v>36</v>
      </c>
      <c r="B6" s="340"/>
      <c r="C6" s="351" t="s">
        <v>37</v>
      </c>
      <c r="D6" s="343"/>
      <c r="E6" s="352"/>
      <c r="F6" s="351" t="s">
        <v>38</v>
      </c>
      <c r="G6" s="343"/>
      <c r="H6" s="343"/>
      <c r="I6" s="343"/>
      <c r="J6" s="343"/>
      <c r="K6" s="359"/>
      <c r="L6" s="343" t="s">
        <v>109</v>
      </c>
      <c r="M6" s="343"/>
      <c r="N6" s="343"/>
      <c r="O6" s="346" t="s">
        <v>39</v>
      </c>
      <c r="P6" s="343"/>
      <c r="Q6" s="343"/>
      <c r="R6" s="343"/>
      <c r="S6" s="343"/>
      <c r="T6" s="347"/>
      <c r="V6" s="87"/>
    </row>
    <row r="7" spans="1:23" ht="13.5" customHeight="1" thickBot="1">
      <c r="A7" s="327">
        <f>COUNTIF(F47:HQ47,"P")</f>
        <v>9</v>
      </c>
      <c r="B7" s="326"/>
      <c r="C7" s="323">
        <f>COUNTIF(F47:HQ47,"F")</f>
        <v>4</v>
      </c>
      <c r="D7" s="324"/>
      <c r="E7" s="326"/>
      <c r="F7" s="323">
        <f>SUM(O7,- A7,- C7)</f>
        <v>2</v>
      </c>
      <c r="G7" s="324"/>
      <c r="H7" s="324"/>
      <c r="I7" s="324"/>
      <c r="J7" s="324"/>
      <c r="K7" s="325"/>
      <c r="L7" s="191">
        <f>COUNTIF(E46:HQ46,"N")</f>
        <v>8</v>
      </c>
      <c r="M7" s="191">
        <f>COUNTIF(E46:HQ46,"A")</f>
        <v>1</v>
      </c>
      <c r="N7" s="191">
        <f>COUNTIF(E46:HQ46,"B")</f>
        <v>6</v>
      </c>
      <c r="O7" s="344">
        <f>COUNTA(E9:HT9)</f>
        <v>15</v>
      </c>
      <c r="P7" s="324"/>
      <c r="Q7" s="324"/>
      <c r="R7" s="324"/>
      <c r="S7" s="324"/>
      <c r="T7" s="345"/>
      <c r="U7" s="88"/>
    </row>
    <row r="8" spans="1:23" ht="11.25" thickBot="1"/>
    <row r="9" spans="1:23" ht="43.5" thickTop="1" thickBot="1">
      <c r="A9" s="230"/>
      <c r="B9" s="231"/>
      <c r="C9" s="232"/>
      <c r="D9" s="233"/>
      <c r="E9" s="232"/>
      <c r="F9" s="234" t="s">
        <v>48</v>
      </c>
      <c r="G9" s="234" t="s">
        <v>49</v>
      </c>
      <c r="H9" s="234" t="s">
        <v>50</v>
      </c>
      <c r="I9" s="234" t="s">
        <v>51</v>
      </c>
      <c r="J9" s="234" t="s">
        <v>52</v>
      </c>
      <c r="K9" s="234" t="s">
        <v>53</v>
      </c>
      <c r="L9" s="234" t="s">
        <v>54</v>
      </c>
      <c r="M9" s="234" t="s">
        <v>55</v>
      </c>
      <c r="N9" s="234" t="s">
        <v>56</v>
      </c>
      <c r="O9" s="234" t="s">
        <v>57</v>
      </c>
      <c r="P9" s="234" t="s">
        <v>58</v>
      </c>
      <c r="Q9" s="235" t="s">
        <v>59</v>
      </c>
      <c r="R9" s="235" t="s">
        <v>60</v>
      </c>
      <c r="S9" s="235" t="s">
        <v>61</v>
      </c>
      <c r="T9" s="235" t="s">
        <v>62</v>
      </c>
      <c r="U9" s="90"/>
      <c r="V9" s="91"/>
      <c r="W9" s="92"/>
    </row>
    <row r="10" spans="1:23" ht="13.5" customHeight="1">
      <c r="A10" s="224" t="s">
        <v>110</v>
      </c>
      <c r="B10" s="93" t="s">
        <v>99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36"/>
    </row>
    <row r="11" spans="1:23" ht="13.5" customHeight="1">
      <c r="A11" s="215"/>
      <c r="B11" s="93"/>
      <c r="C11" s="94"/>
      <c r="D11" s="95" t="s">
        <v>63</v>
      </c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36"/>
      <c r="V11" s="87"/>
    </row>
    <row r="12" spans="1:23" ht="13.5" customHeight="1">
      <c r="A12" s="215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36"/>
    </row>
    <row r="13" spans="1:23" ht="13.5" customHeight="1">
      <c r="A13" s="215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36"/>
      <c r="V13" s="87"/>
    </row>
    <row r="14" spans="1:23" ht="13.5" customHeight="1">
      <c r="A14" s="215"/>
      <c r="B14" s="93" t="s">
        <v>177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36"/>
    </row>
    <row r="15" spans="1:23" ht="13.5" customHeight="1">
      <c r="A15" s="215"/>
      <c r="B15" s="93"/>
      <c r="C15" s="94"/>
      <c r="D15" s="95">
        <v>0</v>
      </c>
      <c r="E15" s="100"/>
      <c r="F15" s="97" t="s">
        <v>145</v>
      </c>
      <c r="G15" s="186"/>
      <c r="H15" s="186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36"/>
    </row>
    <row r="16" spans="1:23" ht="13.5" customHeight="1">
      <c r="A16" s="215"/>
      <c r="B16" s="93"/>
      <c r="C16" s="94"/>
      <c r="D16" s="95">
        <v>1</v>
      </c>
      <c r="E16" s="100"/>
      <c r="F16" s="186"/>
      <c r="G16" s="97"/>
      <c r="H16" s="97" t="s">
        <v>145</v>
      </c>
      <c r="I16" s="97"/>
      <c r="J16" s="97" t="s">
        <v>145</v>
      </c>
      <c r="K16" s="97"/>
      <c r="L16" s="97"/>
      <c r="M16" s="97"/>
      <c r="N16" s="97"/>
      <c r="O16" s="97"/>
      <c r="P16" s="97"/>
      <c r="Q16" s="97"/>
      <c r="R16" s="97"/>
      <c r="S16" s="97"/>
      <c r="T16" s="236"/>
    </row>
    <row r="17" spans="1:21" ht="13.5" customHeight="1">
      <c r="A17" s="215"/>
      <c r="B17" s="93"/>
      <c r="C17" s="94"/>
      <c r="D17" s="95">
        <v>2</v>
      </c>
      <c r="E17" s="100"/>
      <c r="F17" s="186"/>
      <c r="G17" s="97"/>
      <c r="H17" s="97"/>
      <c r="I17" s="97"/>
      <c r="J17" s="97"/>
      <c r="K17" s="97"/>
      <c r="L17" s="97"/>
      <c r="M17" s="97" t="s">
        <v>145</v>
      </c>
      <c r="N17" s="97" t="s">
        <v>145</v>
      </c>
      <c r="O17" s="97" t="s">
        <v>145</v>
      </c>
      <c r="P17" s="97" t="s">
        <v>145</v>
      </c>
      <c r="Q17" s="97"/>
      <c r="R17" s="97"/>
      <c r="S17" s="97"/>
      <c r="T17" s="236"/>
    </row>
    <row r="18" spans="1:21" ht="13.5" customHeight="1">
      <c r="A18" s="215"/>
      <c r="B18" s="93"/>
      <c r="C18" s="94"/>
      <c r="D18" s="95">
        <v>4</v>
      </c>
      <c r="E18" s="100"/>
      <c r="F18" s="186"/>
      <c r="G18" s="97"/>
      <c r="H18" s="97"/>
      <c r="I18" s="97"/>
      <c r="J18" s="97"/>
      <c r="K18" s="97"/>
      <c r="L18" s="97" t="s">
        <v>145</v>
      </c>
      <c r="M18" s="97"/>
      <c r="N18" s="97"/>
      <c r="O18" s="97"/>
      <c r="P18" s="97"/>
      <c r="Q18" s="97"/>
      <c r="R18" s="97"/>
      <c r="S18" s="97"/>
      <c r="T18" s="236"/>
    </row>
    <row r="19" spans="1:21" ht="13.5" customHeight="1">
      <c r="A19" s="215"/>
      <c r="B19" s="93"/>
      <c r="C19" s="94"/>
      <c r="D19" s="95">
        <v>12</v>
      </c>
      <c r="E19" s="100"/>
      <c r="F19" s="97"/>
      <c r="G19" s="97"/>
      <c r="H19" s="97"/>
      <c r="I19" s="97"/>
      <c r="J19" s="97"/>
      <c r="K19" s="97" t="s">
        <v>145</v>
      </c>
      <c r="L19" s="97"/>
      <c r="M19" s="97"/>
      <c r="N19" s="97"/>
      <c r="O19" s="97"/>
      <c r="P19" s="97"/>
      <c r="Q19" s="97"/>
      <c r="R19" s="97"/>
      <c r="S19" s="97"/>
      <c r="T19" s="236"/>
      <c r="U19" s="101"/>
    </row>
    <row r="20" spans="1:21" ht="13.5" customHeight="1">
      <c r="A20" s="215"/>
      <c r="B20" s="93"/>
      <c r="C20" s="94"/>
      <c r="D20" s="95">
        <v>13</v>
      </c>
      <c r="E20" s="100"/>
      <c r="F20" s="97"/>
      <c r="G20" s="97" t="s">
        <v>145</v>
      </c>
      <c r="H20" s="97"/>
      <c r="I20" s="97" t="s">
        <v>145</v>
      </c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36"/>
      <c r="U20" s="101"/>
    </row>
    <row r="21" spans="1:21" ht="13.5" customHeight="1">
      <c r="A21" s="215"/>
      <c r="B21" s="93" t="s">
        <v>178</v>
      </c>
      <c r="C21" s="94"/>
      <c r="D21" s="95"/>
      <c r="E21" s="100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236"/>
      <c r="U21" s="101"/>
    </row>
    <row r="22" spans="1:21" ht="13.5" customHeight="1">
      <c r="A22" s="215"/>
      <c r="B22" s="93"/>
      <c r="C22" s="94"/>
      <c r="D22" s="338">
        <v>999</v>
      </c>
      <c r="E22" s="338"/>
      <c r="F22" s="186"/>
      <c r="G22" s="97"/>
      <c r="H22" s="97" t="s">
        <v>145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36"/>
    </row>
    <row r="23" spans="1:21" ht="13.5" customHeight="1">
      <c r="A23" s="215"/>
      <c r="B23" s="93"/>
      <c r="C23" s="94"/>
      <c r="D23" s="95">
        <v>1000</v>
      </c>
      <c r="E23" s="100"/>
      <c r="F23" s="97"/>
      <c r="G23" s="186"/>
      <c r="H23" s="97"/>
      <c r="I23" s="97"/>
      <c r="J23" s="97" t="s">
        <v>145</v>
      </c>
      <c r="K23" s="97"/>
      <c r="L23" s="97"/>
      <c r="M23" s="97"/>
      <c r="N23" s="97"/>
      <c r="O23" s="97"/>
      <c r="P23" s="97"/>
      <c r="Q23" s="97"/>
      <c r="R23" s="97"/>
      <c r="S23" s="97"/>
      <c r="T23" s="236"/>
    </row>
    <row r="24" spans="1:21" ht="13.5" customHeight="1">
      <c r="A24" s="215"/>
      <c r="B24" s="93"/>
      <c r="C24" s="94"/>
      <c r="D24" s="95">
        <v>2000</v>
      </c>
      <c r="E24" s="100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 t="s">
        <v>145</v>
      </c>
      <c r="Q24" s="97"/>
      <c r="R24" s="97"/>
      <c r="S24" s="97"/>
      <c r="T24" s="236"/>
    </row>
    <row r="25" spans="1:21" ht="13.5" customHeight="1">
      <c r="A25" s="215"/>
      <c r="B25" s="93"/>
      <c r="C25" s="94"/>
      <c r="D25" s="95">
        <v>2020</v>
      </c>
      <c r="E25" s="100"/>
      <c r="F25" s="97" t="s">
        <v>145</v>
      </c>
      <c r="G25" s="97" t="s">
        <v>145</v>
      </c>
      <c r="H25" s="186"/>
      <c r="I25" s="97"/>
      <c r="J25" s="97"/>
      <c r="K25" s="97"/>
      <c r="L25" s="97"/>
      <c r="M25" s="97"/>
      <c r="N25" s="97" t="s">
        <v>145</v>
      </c>
      <c r="O25" s="97"/>
      <c r="P25" s="97"/>
      <c r="Q25" s="97"/>
      <c r="R25" s="97"/>
      <c r="S25" s="97"/>
      <c r="T25" s="236"/>
    </row>
    <row r="26" spans="1:21" ht="13.5" customHeight="1">
      <c r="A26" s="215"/>
      <c r="B26" s="93"/>
      <c r="C26" s="94"/>
      <c r="D26" s="95">
        <v>2021</v>
      </c>
      <c r="E26" s="100"/>
      <c r="F26" s="97"/>
      <c r="G26" s="97"/>
      <c r="H26" s="97"/>
      <c r="I26" s="97"/>
      <c r="J26" s="97"/>
      <c r="K26" s="97"/>
      <c r="L26" s="97" t="s">
        <v>145</v>
      </c>
      <c r="M26" s="97" t="s">
        <v>145</v>
      </c>
      <c r="N26" s="97"/>
      <c r="O26" s="97"/>
      <c r="P26" s="97"/>
      <c r="Q26" s="97"/>
      <c r="R26" s="97"/>
      <c r="S26" s="97"/>
      <c r="T26" s="236"/>
    </row>
    <row r="27" spans="1:21" ht="13.5" customHeight="1">
      <c r="A27" s="215"/>
      <c r="B27" s="93"/>
      <c r="C27" s="94"/>
      <c r="D27" s="95">
        <v>2100</v>
      </c>
      <c r="E27" s="100"/>
      <c r="F27" s="97"/>
      <c r="G27" s="97"/>
      <c r="H27" s="97"/>
      <c r="I27" s="97"/>
      <c r="J27" s="97"/>
      <c r="K27" s="97"/>
      <c r="L27" s="97"/>
      <c r="M27" s="97"/>
      <c r="N27" s="97"/>
      <c r="O27" s="97" t="s">
        <v>145</v>
      </c>
      <c r="P27" s="97"/>
      <c r="Q27" s="97"/>
      <c r="R27" s="97"/>
      <c r="S27" s="97"/>
      <c r="T27" s="236"/>
    </row>
    <row r="28" spans="1:21" ht="13.5" customHeight="1">
      <c r="A28" s="215"/>
      <c r="B28" s="93"/>
      <c r="C28" s="94"/>
      <c r="D28" s="95">
        <v>3000</v>
      </c>
      <c r="E28" s="100"/>
      <c r="F28" s="97"/>
      <c r="G28" s="97"/>
      <c r="H28" s="97"/>
      <c r="I28" s="97"/>
      <c r="J28" s="97"/>
      <c r="K28" s="97" t="s">
        <v>145</v>
      </c>
      <c r="L28" s="97"/>
      <c r="M28" s="97"/>
      <c r="N28" s="97"/>
      <c r="O28" s="97"/>
      <c r="P28" s="97"/>
      <c r="Q28" s="97"/>
      <c r="R28" s="97"/>
      <c r="S28" s="97"/>
      <c r="T28" s="236"/>
    </row>
    <row r="29" spans="1:21" ht="13.5" customHeight="1">
      <c r="A29" s="215"/>
      <c r="B29" s="93"/>
      <c r="C29" s="94"/>
      <c r="D29" s="95">
        <v>3001</v>
      </c>
      <c r="E29" s="100"/>
      <c r="F29" s="97"/>
      <c r="G29" s="97"/>
      <c r="H29" s="97"/>
      <c r="I29" s="97" t="s">
        <v>145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36"/>
    </row>
    <row r="30" spans="1:21" ht="13.5" customHeight="1">
      <c r="A30" s="215"/>
      <c r="B30" s="93"/>
      <c r="C30" s="94"/>
      <c r="D30" s="95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36"/>
    </row>
    <row r="31" spans="1:21" ht="13.5" customHeight="1">
      <c r="A31" s="215"/>
      <c r="B31" s="93"/>
      <c r="C31" s="94"/>
      <c r="D31" s="95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236"/>
    </row>
    <row r="32" spans="1:21" ht="13.5" customHeight="1">
      <c r="A32" s="215"/>
      <c r="B32" s="93"/>
      <c r="C32" s="94"/>
      <c r="D32" s="95"/>
      <c r="E32" s="100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36"/>
    </row>
    <row r="33" spans="1:20" ht="13.5" customHeight="1" thickBot="1">
      <c r="A33" s="215"/>
      <c r="B33" s="102"/>
      <c r="C33" s="103"/>
      <c r="D33" s="104"/>
      <c r="E33" s="105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237"/>
    </row>
    <row r="34" spans="1:20" ht="13.5" customHeight="1" thickTop="1">
      <c r="A34" s="223" t="s">
        <v>114</v>
      </c>
      <c r="B34" s="107" t="s">
        <v>115</v>
      </c>
      <c r="C34" s="108"/>
      <c r="D34" s="109"/>
      <c r="E34" s="110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238"/>
    </row>
    <row r="35" spans="1:20" ht="13.5" customHeight="1">
      <c r="A35" s="222"/>
      <c r="B35" s="107"/>
      <c r="C35" s="108"/>
      <c r="D35" s="109">
        <v>0</v>
      </c>
      <c r="E35" s="110"/>
      <c r="F35" s="97" t="s">
        <v>145</v>
      </c>
      <c r="G35" s="97" t="s">
        <v>145</v>
      </c>
      <c r="H35" s="97" t="s">
        <v>145</v>
      </c>
      <c r="I35" s="97" t="s">
        <v>145</v>
      </c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238"/>
    </row>
    <row r="36" spans="1:20" ht="13.5" customHeight="1">
      <c r="A36" s="222"/>
      <c r="B36" s="112"/>
      <c r="C36" s="113"/>
      <c r="D36" s="114">
        <v>28</v>
      </c>
      <c r="E36" s="115"/>
      <c r="F36" s="97"/>
      <c r="G36" s="97"/>
      <c r="H36" s="97"/>
      <c r="I36" s="97"/>
      <c r="J36" s="97"/>
      <c r="K36" s="97"/>
      <c r="L36" s="97"/>
      <c r="M36" s="97" t="s">
        <v>145</v>
      </c>
      <c r="N36" s="97"/>
      <c r="O36" s="97" t="s">
        <v>145</v>
      </c>
      <c r="P36" s="97"/>
      <c r="Q36" s="97"/>
      <c r="R36" s="97"/>
      <c r="S36" s="97"/>
      <c r="T36" s="236"/>
    </row>
    <row r="37" spans="1:20" ht="13.5" customHeight="1">
      <c r="A37" s="222"/>
      <c r="B37" s="112"/>
      <c r="C37" s="113"/>
      <c r="D37" s="114">
        <v>29</v>
      </c>
      <c r="E37" s="115"/>
      <c r="F37" s="97"/>
      <c r="G37" s="97"/>
      <c r="H37" s="97"/>
      <c r="I37" s="97"/>
      <c r="J37" s="97"/>
      <c r="K37" s="97"/>
      <c r="L37" s="97"/>
      <c r="M37" s="97"/>
      <c r="N37" s="97" t="s">
        <v>145</v>
      </c>
      <c r="O37" s="97"/>
      <c r="P37" s="97" t="s">
        <v>145</v>
      </c>
      <c r="Q37" s="97"/>
      <c r="R37" s="97"/>
      <c r="S37" s="97"/>
      <c r="T37" s="236"/>
    </row>
    <row r="38" spans="1:20" ht="13.5" customHeight="1">
      <c r="A38" s="222"/>
      <c r="B38" s="112"/>
      <c r="C38" s="113"/>
      <c r="D38" s="114">
        <v>30</v>
      </c>
      <c r="E38" s="115"/>
      <c r="F38" s="97"/>
      <c r="G38" s="97"/>
      <c r="H38" s="97"/>
      <c r="I38" s="97"/>
      <c r="J38" s="97"/>
      <c r="L38" s="97" t="s">
        <v>145</v>
      </c>
      <c r="M38" s="97"/>
      <c r="N38" s="97"/>
      <c r="O38" s="97"/>
      <c r="P38" s="97"/>
      <c r="Q38" s="97"/>
      <c r="R38" s="97"/>
      <c r="S38" s="97"/>
      <c r="T38" s="236"/>
    </row>
    <row r="39" spans="1:20" ht="13.5" customHeight="1">
      <c r="A39" s="222"/>
      <c r="B39" s="112"/>
      <c r="C39" s="116"/>
      <c r="D39" s="114">
        <v>31</v>
      </c>
      <c r="E39" s="117"/>
      <c r="F39" s="97"/>
      <c r="G39" s="186"/>
      <c r="H39" s="186"/>
      <c r="I39" s="97"/>
      <c r="J39" s="97" t="s">
        <v>145</v>
      </c>
      <c r="K39" s="97" t="s">
        <v>145</v>
      </c>
      <c r="L39" s="97"/>
      <c r="M39" s="97"/>
      <c r="N39" s="97"/>
      <c r="O39" s="97"/>
      <c r="P39" s="97"/>
      <c r="Q39" s="97"/>
      <c r="R39" s="97"/>
      <c r="S39" s="97"/>
      <c r="T39" s="236"/>
    </row>
    <row r="40" spans="1:20" ht="13.5" customHeight="1">
      <c r="A40" s="222"/>
      <c r="B40" s="112"/>
      <c r="C40" s="116"/>
      <c r="D40" s="114"/>
      <c r="E40" s="117"/>
      <c r="F40" s="186"/>
      <c r="G40" s="186"/>
      <c r="H40" s="186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236"/>
    </row>
    <row r="41" spans="1:20" ht="13.5" customHeight="1">
      <c r="A41" s="222"/>
      <c r="B41" s="112" t="s">
        <v>100</v>
      </c>
      <c r="C41" s="116"/>
      <c r="D41" s="114"/>
      <c r="E41" s="11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236"/>
    </row>
    <row r="42" spans="1:20" ht="13.5" customHeight="1">
      <c r="A42" s="222"/>
      <c r="B42" s="112"/>
      <c r="C42" s="116"/>
      <c r="D42" s="114"/>
      <c r="E42" s="1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236"/>
    </row>
    <row r="43" spans="1:20" ht="13.5" customHeight="1">
      <c r="A43" s="222"/>
      <c r="B43" s="112" t="s">
        <v>101</v>
      </c>
      <c r="C43" s="116"/>
      <c r="D43" s="114"/>
      <c r="E43" s="11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36"/>
    </row>
    <row r="44" spans="1:20" ht="13.5" customHeight="1">
      <c r="A44" s="222"/>
      <c r="B44" s="112"/>
      <c r="C44" s="116"/>
      <c r="D44" s="114" t="s">
        <v>68</v>
      </c>
      <c r="E44" s="117"/>
      <c r="F44" s="97"/>
      <c r="G44" s="97"/>
      <c r="H44" s="97"/>
      <c r="I44" s="97"/>
      <c r="J44" s="97" t="s">
        <v>145</v>
      </c>
      <c r="K44" s="97" t="s">
        <v>145</v>
      </c>
      <c r="L44" s="97" t="s">
        <v>145</v>
      </c>
      <c r="M44" s="97" t="s">
        <v>145</v>
      </c>
      <c r="N44" s="97" t="s">
        <v>145</v>
      </c>
      <c r="O44" s="97" t="s">
        <v>145</v>
      </c>
      <c r="P44" s="97" t="s">
        <v>145</v>
      </c>
      <c r="Q44" s="97"/>
      <c r="R44" s="97"/>
      <c r="S44" s="97"/>
      <c r="T44" s="236"/>
    </row>
    <row r="45" spans="1:20" ht="13.5" customHeight="1" thickBot="1">
      <c r="A45" s="222"/>
      <c r="B45" s="204"/>
      <c r="C45" s="205"/>
      <c r="D45" s="206" t="s">
        <v>69</v>
      </c>
      <c r="E45" s="207"/>
      <c r="F45" s="97" t="s">
        <v>145</v>
      </c>
      <c r="G45" s="97" t="s">
        <v>145</v>
      </c>
      <c r="H45" s="97" t="s">
        <v>145</v>
      </c>
      <c r="I45" s="97" t="s">
        <v>145</v>
      </c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39"/>
    </row>
    <row r="46" spans="1:20" ht="13.5" customHeight="1" thickTop="1">
      <c r="A46" s="223" t="s">
        <v>70</v>
      </c>
      <c r="B46" s="334" t="s">
        <v>71</v>
      </c>
      <c r="C46" s="334"/>
      <c r="D46" s="334"/>
      <c r="E46" s="208"/>
      <c r="F46" s="229" t="s">
        <v>73</v>
      </c>
      <c r="G46" s="229" t="s">
        <v>73</v>
      </c>
      <c r="H46" s="229" t="s">
        <v>73</v>
      </c>
      <c r="I46" s="229" t="s">
        <v>73</v>
      </c>
      <c r="J46" s="229" t="s">
        <v>73</v>
      </c>
      <c r="K46" s="229" t="s">
        <v>73</v>
      </c>
      <c r="L46" s="229" t="s">
        <v>72</v>
      </c>
      <c r="M46" s="229" t="s">
        <v>72</v>
      </c>
      <c r="N46" s="229" t="s">
        <v>72</v>
      </c>
      <c r="O46" s="229" t="s">
        <v>72</v>
      </c>
      <c r="P46" s="229" t="s">
        <v>72</v>
      </c>
      <c r="Q46" s="229" t="s">
        <v>72</v>
      </c>
      <c r="R46" s="229" t="s">
        <v>74</v>
      </c>
      <c r="S46" s="229" t="s">
        <v>72</v>
      </c>
      <c r="T46" s="240" t="s">
        <v>72</v>
      </c>
    </row>
    <row r="47" spans="1:20" ht="13.5" customHeight="1">
      <c r="A47" s="222"/>
      <c r="B47" s="322" t="s">
        <v>75</v>
      </c>
      <c r="C47" s="322"/>
      <c r="D47" s="322"/>
      <c r="E47" s="119"/>
      <c r="F47" s="118" t="s">
        <v>77</v>
      </c>
      <c r="G47" s="118"/>
      <c r="H47" s="118"/>
      <c r="I47" s="118" t="s">
        <v>76</v>
      </c>
      <c r="J47" s="118" t="s">
        <v>76</v>
      </c>
      <c r="K47" s="118" t="s">
        <v>77</v>
      </c>
      <c r="L47" s="118" t="s">
        <v>77</v>
      </c>
      <c r="M47" s="118" t="s">
        <v>76</v>
      </c>
      <c r="N47" s="118" t="s">
        <v>76</v>
      </c>
      <c r="O47" s="118" t="s">
        <v>76</v>
      </c>
      <c r="P47" s="118" t="s">
        <v>76</v>
      </c>
      <c r="Q47" s="118" t="s">
        <v>76</v>
      </c>
      <c r="R47" s="118" t="s">
        <v>77</v>
      </c>
      <c r="S47" s="118" t="s">
        <v>76</v>
      </c>
      <c r="T47" s="241" t="s">
        <v>76</v>
      </c>
    </row>
    <row r="48" spans="1:20" ht="60" customHeight="1">
      <c r="A48" s="222"/>
      <c r="B48" s="332" t="s">
        <v>78</v>
      </c>
      <c r="C48" s="332"/>
      <c r="D48" s="332"/>
      <c r="E48" s="120"/>
      <c r="F48" s="121"/>
      <c r="G48" s="121"/>
      <c r="H48" s="121"/>
      <c r="I48" s="121">
        <v>39141</v>
      </c>
      <c r="J48" s="121">
        <v>39142</v>
      </c>
      <c r="K48" s="121">
        <v>39143</v>
      </c>
      <c r="L48" s="121">
        <v>39144</v>
      </c>
      <c r="M48" s="121">
        <v>39145</v>
      </c>
      <c r="N48" s="121">
        <v>39146</v>
      </c>
      <c r="O48" s="121">
        <v>39147</v>
      </c>
      <c r="P48" s="121">
        <v>39148</v>
      </c>
      <c r="Q48" s="121">
        <v>39149</v>
      </c>
      <c r="R48" s="121">
        <v>39150</v>
      </c>
      <c r="S48" s="121">
        <v>39151</v>
      </c>
      <c r="T48" s="217">
        <v>39152</v>
      </c>
    </row>
    <row r="49" spans="1:20" ht="75.75" thickBot="1">
      <c r="A49" s="242"/>
      <c r="B49" s="333" t="s">
        <v>79</v>
      </c>
      <c r="C49" s="333"/>
      <c r="D49" s="333"/>
      <c r="E49" s="219"/>
      <c r="F49" s="220" t="s">
        <v>181</v>
      </c>
      <c r="G49" s="220"/>
      <c r="H49" s="220"/>
      <c r="I49" s="220"/>
      <c r="J49" s="220"/>
      <c r="K49" s="220" t="s">
        <v>80</v>
      </c>
      <c r="L49" s="220" t="s">
        <v>81</v>
      </c>
      <c r="M49" s="220" t="s">
        <v>82</v>
      </c>
      <c r="N49" s="220" t="s">
        <v>83</v>
      </c>
      <c r="O49" s="220" t="s">
        <v>84</v>
      </c>
      <c r="P49" s="220" t="s">
        <v>85</v>
      </c>
      <c r="Q49" s="220" t="s">
        <v>86</v>
      </c>
      <c r="R49" s="220" t="s">
        <v>87</v>
      </c>
      <c r="S49" s="220" t="s">
        <v>88</v>
      </c>
      <c r="T49" s="221" t="s">
        <v>89</v>
      </c>
    </row>
    <row r="50" spans="1:20" ht="11.25" thickTop="1">
      <c r="A50" s="89"/>
      <c r="B50" s="85"/>
      <c r="C50" s="86"/>
      <c r="D50" s="85"/>
    </row>
  </sheetData>
  <mergeCells count="28">
    <mergeCell ref="B49:D49"/>
    <mergeCell ref="B46:D46"/>
    <mergeCell ref="C3:E3"/>
    <mergeCell ref="A3:B3"/>
    <mergeCell ref="A4:B4"/>
    <mergeCell ref="C4:D4"/>
    <mergeCell ref="D22:E22"/>
    <mergeCell ref="A6:B6"/>
    <mergeCell ref="B47:D47"/>
    <mergeCell ref="A5:B5"/>
    <mergeCell ref="C5:T5"/>
    <mergeCell ref="B48:D48"/>
    <mergeCell ref="A7:B7"/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</mergeCells>
  <phoneticPr fontId="34" type="noConversion"/>
  <dataValidations count="3">
    <dataValidation type="list" allowBlank="1" showInputMessage="1" showErrorMessage="1" sqref="F46:T46" xr:uid="{00000000-0002-0000-0500-000000000000}">
      <formula1>"N,A,B, "</formula1>
    </dataValidation>
    <dataValidation type="list" allowBlank="1" showInputMessage="1" showErrorMessage="1" sqref="F47:T47" xr:uid="{00000000-0002-0000-0500-000001000000}">
      <formula1>"P,F, "</formula1>
    </dataValidation>
    <dataValidation type="list" allowBlank="1" showInputMessage="1" showErrorMessage="1" sqref="F10:T36 K37 L37:T38 F37:J38 F39:T45" xr:uid="{00000000-0002-0000-05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3"/>
  <sheetViews>
    <sheetView topLeftCell="A4" workbookViewId="0">
      <selection activeCell="I25" sqref="I25"/>
    </sheetView>
  </sheetViews>
  <sheetFormatPr defaultColWidth="11" defaultRowHeight="13.5" customHeight="1"/>
  <cols>
    <col min="1" max="1" width="6.875" style="122" customWidth="1"/>
    <col min="2" max="2" width="13.375" style="126" customWidth="1"/>
    <col min="3" max="3" width="10.875" style="122" customWidth="1"/>
    <col min="4" max="4" width="11.375" style="123" customWidth="1"/>
    <col min="5" max="5" width="1.875" style="122" hidden="1" customWidth="1"/>
    <col min="6" max="7" width="2.875" style="122" bestFit="1" customWidth="1"/>
    <col min="8" max="8" width="2.875" style="122" customWidth="1"/>
    <col min="9" max="10" width="2.875" style="122" bestFit="1" customWidth="1"/>
    <col min="11" max="19" width="2.875" style="122" customWidth="1"/>
    <col min="20" max="20" width="2.875" style="122" bestFit="1" customWidth="1"/>
    <col min="21" max="21" width="2.875" style="122" customWidth="1"/>
    <col min="22" max="16384" width="11" style="122"/>
  </cols>
  <sheetData>
    <row r="1" spans="1:23" ht="13.5" customHeight="1" thickBot="1">
      <c r="A1" s="129"/>
      <c r="B1" s="195"/>
    </row>
    <row r="2" spans="1:23" ht="13.5" customHeight="1">
      <c r="A2" s="360" t="s">
        <v>103</v>
      </c>
      <c r="B2" s="361"/>
      <c r="C2" s="362" t="str">
        <f>FunctionList!E13</f>
        <v>Function3</v>
      </c>
      <c r="D2" s="364"/>
      <c r="F2" s="361" t="s">
        <v>25</v>
      </c>
      <c r="G2" s="361"/>
      <c r="H2" s="361"/>
      <c r="I2" s="361"/>
      <c r="J2" s="361"/>
      <c r="K2" s="361"/>
      <c r="L2" s="370" t="str">
        <f>FunctionList!D13</f>
        <v>Function C</v>
      </c>
      <c r="M2" s="371"/>
      <c r="N2" s="371"/>
      <c r="O2" s="371"/>
      <c r="P2" s="371"/>
      <c r="Q2" s="371"/>
      <c r="R2" s="371"/>
      <c r="S2" s="371"/>
      <c r="T2" s="372"/>
    </row>
    <row r="3" spans="1:23" ht="13.5" customHeight="1">
      <c r="A3" s="394" t="s">
        <v>104</v>
      </c>
      <c r="B3" s="395"/>
      <c r="C3" s="398" t="s">
        <v>47</v>
      </c>
      <c r="D3" s="381"/>
      <c r="E3" s="399"/>
      <c r="F3" s="376" t="s">
        <v>105</v>
      </c>
      <c r="G3" s="377"/>
      <c r="H3" s="377"/>
      <c r="I3" s="377"/>
      <c r="J3" s="377"/>
      <c r="K3" s="378"/>
      <c r="L3" s="381"/>
      <c r="M3" s="381"/>
      <c r="N3" s="381"/>
      <c r="O3" s="247"/>
      <c r="P3" s="247"/>
      <c r="Q3" s="247"/>
      <c r="R3" s="247"/>
      <c r="S3" s="247"/>
      <c r="T3" s="248"/>
    </row>
    <row r="4" spans="1:23" ht="13.5" customHeight="1">
      <c r="A4" s="394" t="s">
        <v>106</v>
      </c>
      <c r="B4" s="395"/>
      <c r="C4" s="385">
        <v>300</v>
      </c>
      <c r="D4" s="386"/>
      <c r="E4" s="249"/>
      <c r="F4" s="376" t="s">
        <v>107</v>
      </c>
      <c r="G4" s="377"/>
      <c r="H4" s="377"/>
      <c r="I4" s="377"/>
      <c r="J4" s="377"/>
      <c r="K4" s="378"/>
      <c r="L4" s="382">
        <f xml:space="preserve"> IF(FunctionList!E6&lt;&gt;"N/A",SUM(C4*FunctionList!E6/1000,- O7),"N/A")</f>
        <v>15</v>
      </c>
      <c r="M4" s="383"/>
      <c r="N4" s="383"/>
      <c r="O4" s="383"/>
      <c r="P4" s="383"/>
      <c r="Q4" s="383"/>
      <c r="R4" s="383"/>
      <c r="S4" s="383"/>
      <c r="T4" s="384"/>
      <c r="V4" s="124"/>
    </row>
    <row r="5" spans="1:23" ht="13.5" customHeight="1">
      <c r="A5" s="394" t="s">
        <v>108</v>
      </c>
      <c r="B5" s="395"/>
      <c r="C5" s="403" t="s">
        <v>102</v>
      </c>
      <c r="D5" s="403"/>
      <c r="E5" s="403"/>
      <c r="F5" s="404"/>
      <c r="G5" s="404"/>
      <c r="H5" s="404"/>
      <c r="I5" s="404"/>
      <c r="J5" s="404"/>
      <c r="K5" s="404"/>
      <c r="L5" s="403"/>
      <c r="M5" s="403"/>
      <c r="N5" s="403"/>
      <c r="O5" s="403"/>
      <c r="P5" s="403"/>
      <c r="Q5" s="403"/>
      <c r="R5" s="403"/>
      <c r="S5" s="403"/>
      <c r="T5" s="403"/>
    </row>
    <row r="6" spans="1:23" ht="13.5" customHeight="1">
      <c r="A6" s="401" t="s">
        <v>36</v>
      </c>
      <c r="B6" s="402"/>
      <c r="C6" s="373" t="s">
        <v>37</v>
      </c>
      <c r="D6" s="374"/>
      <c r="E6" s="393"/>
      <c r="F6" s="373" t="s">
        <v>38</v>
      </c>
      <c r="G6" s="374"/>
      <c r="H6" s="374"/>
      <c r="I6" s="374"/>
      <c r="J6" s="374"/>
      <c r="K6" s="375"/>
      <c r="L6" s="374" t="s">
        <v>109</v>
      </c>
      <c r="M6" s="374"/>
      <c r="N6" s="374"/>
      <c r="O6" s="379" t="s">
        <v>39</v>
      </c>
      <c r="P6" s="374"/>
      <c r="Q6" s="374"/>
      <c r="R6" s="374"/>
      <c r="S6" s="374"/>
      <c r="T6" s="380"/>
      <c r="V6" s="124"/>
    </row>
    <row r="7" spans="1:23" ht="13.5" customHeight="1" thickBot="1">
      <c r="A7" s="392">
        <f>COUNTIF(F40:HQ40,"P")</f>
        <v>12</v>
      </c>
      <c r="B7" s="391"/>
      <c r="C7" s="389">
        <f>COUNTIF(F40:HQ40,"F")</f>
        <v>2</v>
      </c>
      <c r="D7" s="390"/>
      <c r="E7" s="391"/>
      <c r="F7" s="389">
        <f>SUM(O7,- A7,- C7)</f>
        <v>1</v>
      </c>
      <c r="G7" s="390"/>
      <c r="H7" s="390"/>
      <c r="I7" s="390"/>
      <c r="J7" s="390"/>
      <c r="K7" s="407"/>
      <c r="L7" s="250">
        <f>COUNTIF(E39:HQ39,"N")</f>
        <v>12</v>
      </c>
      <c r="M7" s="250">
        <f>COUNTIF(E39:HQ39,"A")</f>
        <v>2</v>
      </c>
      <c r="N7" s="250">
        <f>COUNTIF(E39:HQ39,"B")</f>
        <v>1</v>
      </c>
      <c r="O7" s="405">
        <f>COUNTA(E9:HT9)</f>
        <v>15</v>
      </c>
      <c r="P7" s="390"/>
      <c r="Q7" s="390"/>
      <c r="R7" s="390"/>
      <c r="S7" s="390"/>
      <c r="T7" s="406"/>
      <c r="U7" s="125"/>
    </row>
    <row r="8" spans="1:23" ht="11.25" thickBot="1"/>
    <row r="9" spans="1:23" ht="46.5" customHeight="1" thickTop="1" thickBot="1">
      <c r="A9" s="258"/>
      <c r="B9" s="259"/>
      <c r="C9" s="260"/>
      <c r="D9" s="261"/>
      <c r="E9" s="260"/>
      <c r="F9" s="262" t="s">
        <v>48</v>
      </c>
      <c r="G9" s="262" t="s">
        <v>49</v>
      </c>
      <c r="H9" s="262" t="s">
        <v>50</v>
      </c>
      <c r="I9" s="262" t="s">
        <v>51</v>
      </c>
      <c r="J9" s="262" t="s">
        <v>52</v>
      </c>
      <c r="K9" s="262" t="s">
        <v>53</v>
      </c>
      <c r="L9" s="262" t="s">
        <v>54</v>
      </c>
      <c r="M9" s="262" t="s">
        <v>55</v>
      </c>
      <c r="N9" s="262" t="s">
        <v>56</v>
      </c>
      <c r="O9" s="262" t="s">
        <v>57</v>
      </c>
      <c r="P9" s="262" t="s">
        <v>58</v>
      </c>
      <c r="Q9" s="262" t="s">
        <v>59</v>
      </c>
      <c r="R9" s="262" t="s">
        <v>60</v>
      </c>
      <c r="S9" s="262" t="s">
        <v>61</v>
      </c>
      <c r="T9" s="263" t="s">
        <v>62</v>
      </c>
      <c r="U9" s="127"/>
      <c r="V9" s="128"/>
      <c r="W9" s="129"/>
    </row>
    <row r="10" spans="1:23" ht="13.5" customHeight="1">
      <c r="A10" s="264" t="s">
        <v>110</v>
      </c>
      <c r="B10" s="130" t="s">
        <v>111</v>
      </c>
      <c r="C10" s="131"/>
      <c r="D10" s="132"/>
      <c r="E10" s="133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265"/>
    </row>
    <row r="11" spans="1:23" ht="13.5" customHeight="1">
      <c r="A11" s="266"/>
      <c r="B11" s="130"/>
      <c r="C11" s="131"/>
      <c r="D11" s="132" t="s">
        <v>63</v>
      </c>
      <c r="E11" s="135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265"/>
      <c r="V11" s="124"/>
    </row>
    <row r="12" spans="1:23" ht="13.5" customHeight="1">
      <c r="A12" s="266"/>
      <c r="B12" s="130"/>
      <c r="C12" s="131"/>
      <c r="D12" s="132"/>
      <c r="E12" s="135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265"/>
    </row>
    <row r="13" spans="1:23" ht="13.5" customHeight="1">
      <c r="A13" s="266"/>
      <c r="B13" s="130"/>
      <c r="C13" s="131"/>
      <c r="D13" s="132"/>
      <c r="E13" s="136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265"/>
    </row>
    <row r="14" spans="1:23" ht="13.5" customHeight="1">
      <c r="A14" s="266"/>
      <c r="B14" s="130" t="s">
        <v>112</v>
      </c>
      <c r="C14" s="131"/>
      <c r="D14" s="132"/>
      <c r="E14" s="137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265"/>
    </row>
    <row r="15" spans="1:23" ht="13.5" customHeight="1">
      <c r="A15" s="266"/>
      <c r="B15" s="130"/>
      <c r="C15" s="131"/>
      <c r="D15" s="132" t="s">
        <v>64</v>
      </c>
      <c r="E15" s="137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265"/>
      <c r="W15" s="124"/>
    </row>
    <row r="16" spans="1:23" ht="13.5" customHeight="1">
      <c r="A16" s="266"/>
      <c r="B16" s="130"/>
      <c r="C16" s="131"/>
      <c r="D16" s="132" t="s">
        <v>65</v>
      </c>
      <c r="E16" s="137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265"/>
    </row>
    <row r="17" spans="1:21" ht="13.5" customHeight="1">
      <c r="A17" s="266"/>
      <c r="B17" s="130"/>
      <c r="C17" s="131"/>
      <c r="D17" s="132" t="s">
        <v>66</v>
      </c>
      <c r="E17" s="137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265"/>
      <c r="U17" s="138"/>
    </row>
    <row r="18" spans="1:21" ht="13.5" customHeight="1">
      <c r="A18" s="266"/>
      <c r="B18" s="130" t="s">
        <v>113</v>
      </c>
      <c r="C18" s="131"/>
      <c r="D18" s="132"/>
      <c r="E18" s="137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265"/>
      <c r="U18" s="138"/>
    </row>
    <row r="19" spans="1:21" ht="13.5" customHeight="1">
      <c r="A19" s="266"/>
      <c r="B19" s="130"/>
      <c r="C19" s="131"/>
      <c r="D19" s="400" t="s">
        <v>67</v>
      </c>
      <c r="E19" s="400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265"/>
    </row>
    <row r="20" spans="1:21" ht="13.5" customHeight="1">
      <c r="A20" s="266"/>
      <c r="B20" s="130"/>
      <c r="C20" s="131"/>
      <c r="D20" s="132">
        <v>5</v>
      </c>
      <c r="E20" s="137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265"/>
    </row>
    <row r="21" spans="1:21" ht="13.5" customHeight="1">
      <c r="A21" s="266"/>
      <c r="B21" s="130"/>
      <c r="C21" s="131"/>
      <c r="D21" s="132">
        <v>10</v>
      </c>
      <c r="E21" s="137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265"/>
    </row>
    <row r="22" spans="1:21" ht="13.5" customHeight="1">
      <c r="A22" s="266"/>
      <c r="B22" s="130"/>
      <c r="C22" s="131"/>
      <c r="D22" s="132"/>
      <c r="E22" s="137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265"/>
    </row>
    <row r="23" spans="1:21" ht="13.5" customHeight="1">
      <c r="A23" s="266"/>
      <c r="B23" s="130"/>
      <c r="C23" s="131"/>
      <c r="D23" s="132"/>
      <c r="E23" s="137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265"/>
    </row>
    <row r="24" spans="1:21" ht="13.5" customHeight="1">
      <c r="A24" s="266"/>
      <c r="B24" s="130"/>
      <c r="C24" s="131"/>
      <c r="D24" s="132"/>
      <c r="E24" s="137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265"/>
    </row>
    <row r="25" spans="1:21" ht="13.5" customHeight="1">
      <c r="A25" s="266"/>
      <c r="B25" s="130"/>
      <c r="C25" s="131"/>
      <c r="D25" s="132"/>
      <c r="E25" s="137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265"/>
    </row>
    <row r="26" spans="1:21" ht="13.5" customHeight="1">
      <c r="A26" s="266"/>
      <c r="B26" s="130"/>
      <c r="C26" s="131"/>
      <c r="D26" s="132"/>
      <c r="E26" s="137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265"/>
    </row>
    <row r="27" spans="1:21" ht="13.5" customHeight="1">
      <c r="A27" s="266"/>
      <c r="B27" s="130"/>
      <c r="C27" s="131"/>
      <c r="D27" s="132"/>
      <c r="E27" s="137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265"/>
    </row>
    <row r="28" spans="1:21" ht="13.5" customHeight="1">
      <c r="A28" s="266"/>
      <c r="B28" s="130"/>
      <c r="C28" s="131"/>
      <c r="D28" s="132"/>
      <c r="E28" s="137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265"/>
    </row>
    <row r="29" spans="1:21" ht="13.5" customHeight="1">
      <c r="A29" s="266"/>
      <c r="B29" s="130"/>
      <c r="C29" s="131"/>
      <c r="D29" s="132"/>
      <c r="E29" s="137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265"/>
    </row>
    <row r="30" spans="1:21" ht="13.5" customHeight="1" thickBot="1">
      <c r="A30" s="266"/>
      <c r="B30" s="139"/>
      <c r="C30" s="140"/>
      <c r="D30" s="141"/>
      <c r="E30" s="142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267"/>
    </row>
    <row r="31" spans="1:21" ht="13.5" customHeight="1" thickTop="1">
      <c r="A31" s="268" t="s">
        <v>114</v>
      </c>
      <c r="B31" s="144" t="s">
        <v>115</v>
      </c>
      <c r="C31" s="145"/>
      <c r="D31" s="146"/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269"/>
    </row>
    <row r="32" spans="1:21" ht="13.5" customHeight="1">
      <c r="A32" s="270"/>
      <c r="B32" s="149"/>
      <c r="C32" s="150"/>
      <c r="D32" s="151">
        <v>1</v>
      </c>
      <c r="E32" s="152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265"/>
    </row>
    <row r="33" spans="1:20" ht="13.5" customHeight="1">
      <c r="A33" s="270"/>
      <c r="B33" s="149"/>
      <c r="C33" s="153"/>
      <c r="D33" s="151">
        <v>2</v>
      </c>
      <c r="E33" s="15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265"/>
    </row>
    <row r="34" spans="1:20" ht="13.5" customHeight="1">
      <c r="A34" s="270"/>
      <c r="B34" s="149" t="s">
        <v>116</v>
      </c>
      <c r="C34" s="153"/>
      <c r="D34" s="151"/>
      <c r="E34" s="15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265"/>
    </row>
    <row r="35" spans="1:20" ht="13.5" customHeight="1">
      <c r="A35" s="270"/>
      <c r="B35" s="149"/>
      <c r="C35" s="153"/>
      <c r="D35" s="151"/>
      <c r="E35" s="15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265"/>
    </row>
    <row r="36" spans="1:20" ht="13.5" customHeight="1">
      <c r="A36" s="270"/>
      <c r="B36" s="149" t="s">
        <v>117</v>
      </c>
      <c r="C36" s="153"/>
      <c r="D36" s="151"/>
      <c r="E36" s="15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265"/>
    </row>
    <row r="37" spans="1:20" ht="13.5" customHeight="1">
      <c r="A37" s="270"/>
      <c r="B37" s="149"/>
      <c r="C37" s="153"/>
      <c r="D37" s="151" t="s">
        <v>68</v>
      </c>
      <c r="E37" s="15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265"/>
    </row>
    <row r="38" spans="1:20" ht="13.5" customHeight="1" thickBot="1">
      <c r="A38" s="270"/>
      <c r="B38" s="251"/>
      <c r="C38" s="252"/>
      <c r="D38" s="253" t="s">
        <v>69</v>
      </c>
      <c r="E38" s="254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71"/>
    </row>
    <row r="39" spans="1:20" ht="13.5" customHeight="1" thickTop="1">
      <c r="A39" s="268" t="s">
        <v>70</v>
      </c>
      <c r="B39" s="397" t="s">
        <v>71</v>
      </c>
      <c r="C39" s="397"/>
      <c r="D39" s="397"/>
      <c r="E39" s="256"/>
      <c r="F39" s="257" t="s">
        <v>72</v>
      </c>
      <c r="G39" s="257" t="s">
        <v>72</v>
      </c>
      <c r="H39" s="257" t="s">
        <v>72</v>
      </c>
      <c r="I39" s="257" t="s">
        <v>72</v>
      </c>
      <c r="J39" s="257" t="s">
        <v>72</v>
      </c>
      <c r="K39" s="257" t="s">
        <v>73</v>
      </c>
      <c r="L39" s="257" t="s">
        <v>74</v>
      </c>
      <c r="M39" s="257" t="s">
        <v>72</v>
      </c>
      <c r="N39" s="257" t="s">
        <v>72</v>
      </c>
      <c r="O39" s="257" t="s">
        <v>72</v>
      </c>
      <c r="P39" s="257" t="s">
        <v>72</v>
      </c>
      <c r="Q39" s="257" t="s">
        <v>72</v>
      </c>
      <c r="R39" s="257" t="s">
        <v>74</v>
      </c>
      <c r="S39" s="257" t="s">
        <v>72</v>
      </c>
      <c r="T39" s="272" t="s">
        <v>72</v>
      </c>
    </row>
    <row r="40" spans="1:20" ht="13.5" customHeight="1">
      <c r="A40" s="273"/>
      <c r="B40" s="387" t="s">
        <v>75</v>
      </c>
      <c r="C40" s="387"/>
      <c r="D40" s="387"/>
      <c r="E40" s="156"/>
      <c r="F40" s="155" t="s">
        <v>76</v>
      </c>
      <c r="G40" s="155" t="s">
        <v>76</v>
      </c>
      <c r="H40" s="155" t="s">
        <v>76</v>
      </c>
      <c r="I40" s="155" t="s">
        <v>76</v>
      </c>
      <c r="J40" s="155" t="s">
        <v>76</v>
      </c>
      <c r="K40" s="155" t="s">
        <v>77</v>
      </c>
      <c r="L40" s="155" t="s">
        <v>77</v>
      </c>
      <c r="M40" s="155" t="s">
        <v>76</v>
      </c>
      <c r="N40" s="155" t="s">
        <v>76</v>
      </c>
      <c r="O40" s="155" t="s">
        <v>76</v>
      </c>
      <c r="P40" s="155" t="s">
        <v>76</v>
      </c>
      <c r="Q40" s="155" t="s">
        <v>76</v>
      </c>
      <c r="R40" s="155"/>
      <c r="S40" s="155" t="s">
        <v>76</v>
      </c>
      <c r="T40" s="274" t="s">
        <v>76</v>
      </c>
    </row>
    <row r="41" spans="1:20" ht="13.5" customHeight="1">
      <c r="A41" s="273"/>
      <c r="B41" s="388" t="s">
        <v>78</v>
      </c>
      <c r="C41" s="388"/>
      <c r="D41" s="388"/>
      <c r="E41" s="157"/>
      <c r="F41" s="158">
        <v>39139</v>
      </c>
      <c r="G41" s="158">
        <v>39139</v>
      </c>
      <c r="H41" s="158">
        <v>39140</v>
      </c>
      <c r="I41" s="158">
        <v>39141</v>
      </c>
      <c r="J41" s="158">
        <v>39142</v>
      </c>
      <c r="K41" s="158">
        <v>39143</v>
      </c>
      <c r="L41" s="158">
        <v>39144</v>
      </c>
      <c r="M41" s="158">
        <v>39145</v>
      </c>
      <c r="N41" s="158">
        <v>39146</v>
      </c>
      <c r="O41" s="158">
        <v>39147</v>
      </c>
      <c r="P41" s="158">
        <v>39148</v>
      </c>
      <c r="Q41" s="158">
        <v>39149</v>
      </c>
      <c r="R41" s="158">
        <v>39150</v>
      </c>
      <c r="S41" s="158">
        <v>39151</v>
      </c>
      <c r="T41" s="275">
        <v>39152</v>
      </c>
    </row>
    <row r="42" spans="1:20" ht="75.75" thickBot="1">
      <c r="A42" s="276"/>
      <c r="B42" s="396" t="s">
        <v>79</v>
      </c>
      <c r="C42" s="396"/>
      <c r="D42" s="396"/>
      <c r="E42" s="277"/>
      <c r="F42" s="278"/>
      <c r="G42" s="278"/>
      <c r="H42" s="278"/>
      <c r="I42" s="278"/>
      <c r="J42" s="278"/>
      <c r="K42" s="278" t="s">
        <v>80</v>
      </c>
      <c r="L42" s="278" t="s">
        <v>81</v>
      </c>
      <c r="M42" s="278" t="s">
        <v>82</v>
      </c>
      <c r="N42" s="278" t="s">
        <v>83</v>
      </c>
      <c r="O42" s="278" t="s">
        <v>84</v>
      </c>
      <c r="P42" s="278" t="s">
        <v>85</v>
      </c>
      <c r="Q42" s="278" t="s">
        <v>86</v>
      </c>
      <c r="R42" s="278" t="s">
        <v>87</v>
      </c>
      <c r="S42" s="278" t="s">
        <v>88</v>
      </c>
      <c r="T42" s="279" t="s">
        <v>89</v>
      </c>
    </row>
    <row r="43" spans="1:20" ht="11.25" thickTop="1">
      <c r="A43" s="126"/>
      <c r="B43" s="122"/>
      <c r="C43" s="123"/>
      <c r="D43" s="122"/>
    </row>
  </sheetData>
  <mergeCells count="28"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L2:T2"/>
    <mergeCell ref="C2:D2"/>
    <mergeCell ref="F6:K6"/>
    <mergeCell ref="F4:K4"/>
    <mergeCell ref="O6:T6"/>
    <mergeCell ref="L3:N3"/>
    <mergeCell ref="L4:T4"/>
    <mergeCell ref="C4:D4"/>
  </mergeCells>
  <phoneticPr fontId="34" type="noConversion"/>
  <dataValidations count="3">
    <dataValidation type="list" allowBlank="1" showInputMessage="1" showErrorMessage="1" sqref="F39:T39" xr:uid="{00000000-0002-0000-0600-000000000000}">
      <formula1>"N,A,B, "</formula1>
    </dataValidation>
    <dataValidation type="list" allowBlank="1" showInputMessage="1" showErrorMessage="1" sqref="F40:T40" xr:uid="{00000000-0002-0000-0600-000001000000}">
      <formula1>"P,F, "</formula1>
    </dataValidation>
    <dataValidation type="list" allowBlank="1" showInputMessage="1" showErrorMessage="1" sqref="F10:T38" xr:uid="{00000000-0002-0000-06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9"/>
  <sheetViews>
    <sheetView topLeftCell="A25" workbookViewId="0">
      <selection activeCell="F9" sqref="F9"/>
    </sheetView>
  </sheetViews>
  <sheetFormatPr defaultColWidth="11" defaultRowHeight="13.5" customHeight="1"/>
  <cols>
    <col min="1" max="1" width="8.125" style="85" customWidth="1"/>
    <col min="2" max="2" width="13.375" style="89" customWidth="1"/>
    <col min="3" max="3" width="10.875" style="85" customWidth="1"/>
    <col min="4" max="4" width="11.375" style="86" customWidth="1"/>
    <col min="5" max="5" width="1.875" style="85" hidden="1" customWidth="1"/>
    <col min="6" max="11" width="2.875" style="85" bestFit="1" customWidth="1"/>
    <col min="12" max="19" width="2.875" style="85" customWidth="1"/>
    <col min="20" max="20" width="2.875" style="85" bestFit="1" customWidth="1"/>
    <col min="21" max="21" width="2.875" style="85" customWidth="1"/>
    <col min="22" max="16384" width="11" style="85"/>
  </cols>
  <sheetData>
    <row r="1" spans="1:23" ht="13.5" customHeight="1" thickBot="1">
      <c r="A1" s="83"/>
      <c r="B1" s="84"/>
    </row>
    <row r="2" spans="1:23" ht="13.5" customHeight="1">
      <c r="A2" s="315" t="s">
        <v>103</v>
      </c>
      <c r="B2" s="316"/>
      <c r="C2" s="317" t="str">
        <f>FunctionList!E11</f>
        <v>Function1</v>
      </c>
      <c r="D2" s="318"/>
      <c r="E2" s="319"/>
      <c r="F2" s="320" t="s">
        <v>25</v>
      </c>
      <c r="G2" s="321"/>
      <c r="H2" s="321"/>
      <c r="I2" s="321"/>
      <c r="J2" s="321"/>
      <c r="K2" s="321"/>
      <c r="L2" s="348" t="str">
        <f>FunctionList!D11</f>
        <v>Function A</v>
      </c>
      <c r="M2" s="349"/>
      <c r="N2" s="349"/>
      <c r="O2" s="349"/>
      <c r="P2" s="349"/>
      <c r="Q2" s="349"/>
      <c r="R2" s="349"/>
      <c r="S2" s="349"/>
      <c r="T2" s="350"/>
      <c r="V2" s="87"/>
    </row>
    <row r="3" spans="1:23" ht="13.5" customHeight="1">
      <c r="A3" s="328" t="s">
        <v>104</v>
      </c>
      <c r="B3" s="329"/>
      <c r="C3" s="335" t="s">
        <v>47</v>
      </c>
      <c r="D3" s="336"/>
      <c r="E3" s="337"/>
      <c r="F3" s="353" t="s">
        <v>105</v>
      </c>
      <c r="G3" s="354"/>
      <c r="H3" s="354"/>
      <c r="I3" s="354"/>
      <c r="J3" s="354"/>
      <c r="K3" s="355"/>
      <c r="L3" s="336"/>
      <c r="M3" s="336"/>
      <c r="N3" s="336"/>
      <c r="O3" s="189"/>
      <c r="P3" s="189"/>
      <c r="Q3" s="189"/>
      <c r="R3" s="189"/>
      <c r="S3" s="189"/>
      <c r="T3" s="190"/>
    </row>
    <row r="4" spans="1:23" ht="13.5" customHeight="1">
      <c r="A4" s="328" t="s">
        <v>106</v>
      </c>
      <c r="B4" s="329"/>
      <c r="C4" s="330">
        <v>100</v>
      </c>
      <c r="D4" s="331"/>
      <c r="E4" s="203"/>
      <c r="F4" s="353" t="s">
        <v>107</v>
      </c>
      <c r="G4" s="354"/>
      <c r="H4" s="354"/>
      <c r="I4" s="354"/>
      <c r="J4" s="354"/>
      <c r="K4" s="355"/>
      <c r="L4" s="356">
        <f xml:space="preserve"> IF(FunctionList!E6&lt;&gt;"N/A",SUM(C4*FunctionList!E6/1000,- O7),"N/A")</f>
        <v>-5</v>
      </c>
      <c r="M4" s="357"/>
      <c r="N4" s="357"/>
      <c r="O4" s="357"/>
      <c r="P4" s="357"/>
      <c r="Q4" s="357"/>
      <c r="R4" s="357"/>
      <c r="S4" s="357"/>
      <c r="T4" s="358"/>
      <c r="V4" s="87"/>
    </row>
    <row r="5" spans="1:23" ht="13.5" customHeight="1">
      <c r="A5" s="328" t="s">
        <v>108</v>
      </c>
      <c r="B5" s="329"/>
      <c r="C5" s="341" t="s">
        <v>102</v>
      </c>
      <c r="D5" s="341"/>
      <c r="E5" s="341"/>
      <c r="F5" s="342"/>
      <c r="G5" s="342"/>
      <c r="H5" s="342"/>
      <c r="I5" s="342"/>
      <c r="J5" s="342"/>
      <c r="K5" s="342"/>
      <c r="L5" s="341"/>
      <c r="M5" s="341"/>
      <c r="N5" s="341"/>
      <c r="O5" s="341"/>
      <c r="P5" s="341"/>
      <c r="Q5" s="341"/>
      <c r="R5" s="341"/>
      <c r="S5" s="341"/>
      <c r="T5" s="341"/>
    </row>
    <row r="6" spans="1:23" ht="13.5" customHeight="1">
      <c r="A6" s="339" t="s">
        <v>36</v>
      </c>
      <c r="B6" s="340"/>
      <c r="C6" s="351" t="s">
        <v>37</v>
      </c>
      <c r="D6" s="343"/>
      <c r="E6" s="352"/>
      <c r="F6" s="351" t="s">
        <v>38</v>
      </c>
      <c r="G6" s="343"/>
      <c r="H6" s="343"/>
      <c r="I6" s="343"/>
      <c r="J6" s="343"/>
      <c r="K6" s="359"/>
      <c r="L6" s="343" t="s">
        <v>109</v>
      </c>
      <c r="M6" s="343"/>
      <c r="N6" s="343"/>
      <c r="O6" s="346" t="s">
        <v>39</v>
      </c>
      <c r="P6" s="343"/>
      <c r="Q6" s="343"/>
      <c r="R6" s="343"/>
      <c r="S6" s="343"/>
      <c r="T6" s="347"/>
      <c r="V6" s="87"/>
    </row>
    <row r="7" spans="1:23" ht="13.5" customHeight="1" thickBot="1">
      <c r="A7" s="327">
        <f>COUNTIF(F47:HQ47,"P")</f>
        <v>0</v>
      </c>
      <c r="B7" s="326"/>
      <c r="C7" s="323">
        <f>COUNTIF(F47:HQ47,"F")</f>
        <v>0</v>
      </c>
      <c r="D7" s="324"/>
      <c r="E7" s="326"/>
      <c r="F7" s="323">
        <f>SUM(O7,- A7,- C7)</f>
        <v>15</v>
      </c>
      <c r="G7" s="324"/>
      <c r="H7" s="324"/>
      <c r="I7" s="324"/>
      <c r="J7" s="324"/>
      <c r="K7" s="325"/>
      <c r="L7" s="191">
        <f>COUNTIF(E46:HQ46,"N")</f>
        <v>0</v>
      </c>
      <c r="M7" s="191">
        <f>COUNTIF(E46:HQ46,"A")</f>
        <v>0</v>
      </c>
      <c r="N7" s="191">
        <f>COUNTIF(E46:HQ46,"B")</f>
        <v>0</v>
      </c>
      <c r="O7" s="344">
        <f>COUNTA(E9:HT9)</f>
        <v>15</v>
      </c>
      <c r="P7" s="324"/>
      <c r="Q7" s="324"/>
      <c r="R7" s="324"/>
      <c r="S7" s="324"/>
      <c r="T7" s="345"/>
      <c r="U7" s="88"/>
    </row>
    <row r="8" spans="1:23" ht="11.25" thickBot="1"/>
    <row r="9" spans="1:23" ht="45" customHeight="1" thickTop="1" thickBot="1">
      <c r="A9" s="230"/>
      <c r="B9" s="210"/>
      <c r="C9" s="211"/>
      <c r="D9" s="212"/>
      <c r="E9" s="211"/>
      <c r="F9" s="213" t="s">
        <v>48</v>
      </c>
      <c r="G9" s="213" t="s">
        <v>49</v>
      </c>
      <c r="H9" s="213" t="s">
        <v>49</v>
      </c>
      <c r="I9" s="213" t="s">
        <v>49</v>
      </c>
      <c r="J9" s="213" t="s">
        <v>49</v>
      </c>
      <c r="K9" s="213" t="s">
        <v>49</v>
      </c>
      <c r="L9" s="213" t="s">
        <v>54</v>
      </c>
      <c r="M9" s="213" t="s">
        <v>55</v>
      </c>
      <c r="N9" s="213" t="s">
        <v>56</v>
      </c>
      <c r="O9" s="213" t="s">
        <v>57</v>
      </c>
      <c r="P9" s="213" t="s">
        <v>58</v>
      </c>
      <c r="Q9" s="213" t="s">
        <v>59</v>
      </c>
      <c r="R9" s="213" t="s">
        <v>60</v>
      </c>
      <c r="S9" s="213" t="s">
        <v>61</v>
      </c>
      <c r="T9" s="214" t="s">
        <v>62</v>
      </c>
      <c r="U9" s="90"/>
      <c r="V9" s="91"/>
      <c r="W9" s="92"/>
    </row>
    <row r="10" spans="1:23" ht="13.5" customHeight="1">
      <c r="A10" s="224" t="s">
        <v>110</v>
      </c>
      <c r="B10" s="93" t="s">
        <v>90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36"/>
    </row>
    <row r="11" spans="1:23" ht="13.5" customHeight="1">
      <c r="A11" s="215"/>
      <c r="B11" s="93"/>
      <c r="C11" s="94"/>
      <c r="D11" s="95"/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36"/>
      <c r="V11" s="87"/>
    </row>
    <row r="12" spans="1:23" ht="13.5" customHeight="1">
      <c r="A12" s="215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36"/>
    </row>
    <row r="13" spans="1:23" ht="13.5" customHeight="1">
      <c r="A13" s="215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36"/>
    </row>
    <row r="14" spans="1:23" ht="13.5" customHeight="1">
      <c r="A14" s="215"/>
      <c r="B14" s="93" t="s">
        <v>139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36"/>
    </row>
    <row r="15" spans="1:23" ht="13.5" customHeight="1">
      <c r="A15" s="215"/>
      <c r="B15" s="93"/>
      <c r="C15" s="94"/>
      <c r="D15" s="95">
        <v>-2</v>
      </c>
      <c r="E15" s="100"/>
      <c r="F15" s="97" t="s">
        <v>145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36"/>
    </row>
    <row r="16" spans="1:23" ht="13.5" customHeight="1">
      <c r="A16" s="215"/>
      <c r="B16" s="93"/>
      <c r="C16" s="94"/>
      <c r="D16" s="95">
        <v>-1</v>
      </c>
      <c r="E16" s="100"/>
      <c r="F16" s="97"/>
      <c r="G16" s="97"/>
      <c r="H16" s="97"/>
      <c r="I16" s="97"/>
      <c r="J16" s="97"/>
      <c r="K16" s="97"/>
      <c r="L16" s="97" t="s">
        <v>145</v>
      </c>
      <c r="M16" s="97"/>
      <c r="N16" s="97"/>
      <c r="O16" s="97"/>
      <c r="P16" s="97"/>
      <c r="Q16" s="97"/>
      <c r="R16" s="97"/>
      <c r="S16" s="97"/>
      <c r="T16" s="236"/>
    </row>
    <row r="17" spans="1:21" ht="13.5" customHeight="1">
      <c r="A17" s="215"/>
      <c r="B17" s="93"/>
      <c r="C17" s="94"/>
      <c r="D17" s="95">
        <v>0</v>
      </c>
      <c r="E17" s="100"/>
      <c r="F17" s="97"/>
      <c r="G17" s="97" t="s">
        <v>145</v>
      </c>
      <c r="H17" s="97" t="s">
        <v>145</v>
      </c>
      <c r="I17" s="97" t="s">
        <v>145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36"/>
      <c r="U17" s="101"/>
    </row>
    <row r="18" spans="1:21" ht="13.5" customHeight="1">
      <c r="A18" s="215"/>
      <c r="B18" s="93"/>
      <c r="C18" s="94"/>
      <c r="D18" s="95">
        <v>1</v>
      </c>
      <c r="E18" s="100"/>
      <c r="F18" s="97"/>
      <c r="G18" s="97"/>
      <c r="H18" s="97"/>
      <c r="I18" s="97"/>
      <c r="J18" s="97" t="s">
        <v>145</v>
      </c>
      <c r="K18" s="97" t="s">
        <v>145</v>
      </c>
      <c r="L18" s="97"/>
      <c r="M18" s="97"/>
      <c r="N18" s="97"/>
      <c r="O18" s="97"/>
      <c r="P18" s="97"/>
      <c r="Q18" s="97"/>
      <c r="R18" s="97"/>
      <c r="S18" s="97"/>
      <c r="T18" s="236"/>
      <c r="U18" s="101"/>
    </row>
    <row r="19" spans="1:21" ht="13.5" customHeight="1">
      <c r="A19" s="215"/>
      <c r="B19" s="93" t="s">
        <v>140</v>
      </c>
      <c r="C19" s="94"/>
      <c r="D19" s="95"/>
      <c r="E19" s="100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36"/>
      <c r="U19" s="101"/>
    </row>
    <row r="20" spans="1:21" ht="13.5" customHeight="1">
      <c r="A20" s="215"/>
      <c r="B20" s="93"/>
      <c r="C20" s="94"/>
      <c r="D20" s="338">
        <v>0</v>
      </c>
      <c r="E20" s="338"/>
      <c r="F20" s="97"/>
      <c r="G20" s="97" t="s">
        <v>145</v>
      </c>
      <c r="H20" s="97" t="s">
        <v>145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36"/>
    </row>
    <row r="21" spans="1:21" ht="13.5" customHeight="1">
      <c r="A21" s="215"/>
      <c r="B21" s="93"/>
      <c r="C21" s="94"/>
      <c r="D21" s="95">
        <v>-2</v>
      </c>
      <c r="E21" s="100"/>
      <c r="F21" s="97"/>
      <c r="G21" s="97"/>
      <c r="H21" s="97"/>
      <c r="I21" s="97"/>
      <c r="J21" s="97" t="s">
        <v>145</v>
      </c>
      <c r="K21" s="97" t="s">
        <v>145</v>
      </c>
      <c r="L21" s="97" t="s">
        <v>145</v>
      </c>
      <c r="M21" s="97"/>
      <c r="N21" s="97"/>
      <c r="O21" s="97"/>
      <c r="P21" s="97"/>
      <c r="Q21" s="97"/>
      <c r="R21" s="97"/>
      <c r="S21" s="97"/>
      <c r="T21" s="236"/>
    </row>
    <row r="22" spans="1:21" ht="13.5" customHeight="1">
      <c r="A22" s="215"/>
      <c r="B22" s="93"/>
      <c r="C22" s="94"/>
      <c r="D22" s="95">
        <v>2</v>
      </c>
      <c r="E22" s="100"/>
      <c r="F22" s="97"/>
      <c r="G22" s="97"/>
      <c r="H22" s="97"/>
      <c r="I22" s="97" t="s">
        <v>145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36"/>
    </row>
    <row r="23" spans="1:21" ht="13.5" customHeight="1">
      <c r="A23" s="215"/>
      <c r="B23" s="93" t="s">
        <v>141</v>
      </c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36"/>
    </row>
    <row r="24" spans="1:21" ht="13.5" customHeight="1">
      <c r="A24" s="215"/>
      <c r="B24" s="93"/>
      <c r="C24" s="94"/>
      <c r="D24" s="95">
        <v>0</v>
      </c>
      <c r="E24" s="100"/>
      <c r="F24" s="97"/>
      <c r="G24" s="97" t="s">
        <v>145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36"/>
    </row>
    <row r="25" spans="1:21" ht="13.5" customHeight="1">
      <c r="A25" s="215"/>
      <c r="B25" s="93"/>
      <c r="C25" s="94"/>
      <c r="D25" s="95">
        <v>1</v>
      </c>
      <c r="E25" s="100"/>
      <c r="F25" s="97"/>
      <c r="G25" s="97"/>
      <c r="H25" s="97" t="s">
        <v>145</v>
      </c>
      <c r="I25" s="97" t="s">
        <v>145</v>
      </c>
      <c r="J25" s="97" t="s">
        <v>145</v>
      </c>
      <c r="K25" s="97"/>
      <c r="L25" s="97"/>
      <c r="M25" s="97"/>
      <c r="N25" s="97"/>
      <c r="O25" s="97"/>
      <c r="P25" s="97"/>
      <c r="Q25" s="97"/>
      <c r="R25" s="97"/>
      <c r="S25" s="97"/>
      <c r="T25" s="236"/>
    </row>
    <row r="26" spans="1:21" ht="13.5" customHeight="1">
      <c r="A26" s="215"/>
      <c r="B26" s="93"/>
      <c r="C26" s="94"/>
      <c r="D26" s="95">
        <v>3</v>
      </c>
      <c r="E26" s="100"/>
      <c r="F26" s="97"/>
      <c r="G26" s="97"/>
      <c r="H26" s="97"/>
      <c r="I26" s="97"/>
      <c r="J26" s="97"/>
      <c r="K26" s="97"/>
      <c r="L26" s="97" t="s">
        <v>145</v>
      </c>
      <c r="M26" s="97"/>
      <c r="N26" s="97"/>
      <c r="O26" s="97"/>
      <c r="P26" s="97"/>
      <c r="Q26" s="97"/>
      <c r="R26" s="97"/>
      <c r="S26" s="97"/>
      <c r="T26" s="236"/>
    </row>
    <row r="27" spans="1:21" ht="13.5" customHeight="1">
      <c r="A27" s="215"/>
      <c r="B27" s="93"/>
      <c r="C27" s="94"/>
      <c r="D27" s="95">
        <v>5</v>
      </c>
      <c r="E27" s="100"/>
      <c r="F27" s="97"/>
      <c r="G27" s="97"/>
      <c r="H27" s="97"/>
      <c r="I27" s="97"/>
      <c r="J27" s="97"/>
      <c r="K27" s="97" t="s">
        <v>145</v>
      </c>
      <c r="L27" s="97"/>
      <c r="M27" s="97"/>
      <c r="N27" s="97"/>
      <c r="O27" s="97"/>
      <c r="P27" s="97"/>
      <c r="Q27" s="97"/>
      <c r="R27" s="97"/>
      <c r="S27" s="97"/>
      <c r="T27" s="236"/>
    </row>
    <row r="28" spans="1:21" ht="13.5" customHeight="1">
      <c r="A28" s="215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36"/>
    </row>
    <row r="29" spans="1:21" ht="13.5" customHeight="1">
      <c r="A29" s="215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36"/>
    </row>
    <row r="30" spans="1:21" ht="13.5" customHeight="1">
      <c r="A30" s="215"/>
      <c r="B30" s="93"/>
      <c r="C30" s="94"/>
      <c r="D30" s="95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36"/>
    </row>
    <row r="31" spans="1:21" ht="13.5" customHeight="1">
      <c r="A31" s="215"/>
      <c r="B31" s="93"/>
      <c r="C31" s="94"/>
      <c r="D31" s="95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236"/>
    </row>
    <row r="32" spans="1:21" ht="13.5" customHeight="1" thickBot="1">
      <c r="A32" s="215"/>
      <c r="B32" s="102"/>
      <c r="C32" s="103"/>
      <c r="D32" s="104"/>
      <c r="E32" s="105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237"/>
    </row>
    <row r="33" spans="1:20" ht="13.5" customHeight="1" thickTop="1">
      <c r="A33" s="223" t="s">
        <v>114</v>
      </c>
      <c r="B33" s="107" t="s">
        <v>91</v>
      </c>
      <c r="C33" s="108"/>
      <c r="D33" s="109"/>
      <c r="E33" s="110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238"/>
    </row>
    <row r="34" spans="1:20" ht="13.5" customHeight="1">
      <c r="A34" s="222"/>
      <c r="B34" s="159" t="s">
        <v>142</v>
      </c>
      <c r="C34" s="113"/>
      <c r="D34" s="114"/>
      <c r="E34" s="115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36"/>
    </row>
    <row r="35" spans="1:20" ht="13.5" customHeight="1">
      <c r="A35" s="222"/>
      <c r="B35" s="159"/>
      <c r="C35" s="113"/>
      <c r="D35" s="114" t="s">
        <v>143</v>
      </c>
      <c r="E35" s="115"/>
      <c r="F35" s="97" t="s">
        <v>145</v>
      </c>
      <c r="G35" s="97"/>
      <c r="H35" s="97" t="s">
        <v>145</v>
      </c>
      <c r="I35" s="97"/>
      <c r="J35" s="97"/>
      <c r="K35" s="97" t="s">
        <v>145</v>
      </c>
      <c r="L35" s="97"/>
      <c r="M35" s="97"/>
      <c r="N35" s="97"/>
      <c r="O35" s="97"/>
      <c r="P35" s="97"/>
      <c r="Q35" s="97"/>
      <c r="R35" s="97"/>
      <c r="S35" s="97"/>
      <c r="T35" s="236"/>
    </row>
    <row r="36" spans="1:20" ht="13.5" customHeight="1">
      <c r="A36" s="222"/>
      <c r="B36" s="159"/>
      <c r="C36" s="113"/>
      <c r="D36" s="114" t="s">
        <v>144</v>
      </c>
      <c r="E36" s="115"/>
      <c r="F36" s="97"/>
      <c r="G36" s="97" t="s">
        <v>145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36"/>
    </row>
    <row r="37" spans="1:20" ht="13.5" customHeight="1">
      <c r="A37" s="222"/>
      <c r="B37" s="159"/>
      <c r="C37" s="113"/>
      <c r="D37" s="114" t="s">
        <v>147</v>
      </c>
      <c r="E37" s="115"/>
      <c r="F37" s="97"/>
      <c r="G37" s="97"/>
      <c r="H37" s="97"/>
      <c r="I37" s="97" t="s">
        <v>145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36"/>
    </row>
    <row r="38" spans="1:20" ht="13.5" customHeight="1">
      <c r="A38" s="222"/>
      <c r="B38" s="159"/>
      <c r="C38" s="113"/>
      <c r="D38" s="114" t="s">
        <v>148</v>
      </c>
      <c r="E38" s="115"/>
      <c r="F38" s="97"/>
      <c r="G38" s="97"/>
      <c r="H38" s="97"/>
      <c r="I38" s="97"/>
      <c r="J38" s="97" t="s">
        <v>145</v>
      </c>
      <c r="K38" s="97"/>
      <c r="L38" s="97"/>
      <c r="M38" s="97"/>
      <c r="N38" s="97"/>
      <c r="O38" s="97"/>
      <c r="P38" s="97"/>
      <c r="Q38" s="97"/>
      <c r="R38" s="97"/>
      <c r="S38" s="97"/>
      <c r="T38" s="236"/>
    </row>
    <row r="39" spans="1:20" ht="13.5" customHeight="1">
      <c r="A39" s="222"/>
      <c r="B39" s="112"/>
      <c r="C39" s="116"/>
      <c r="D39" s="114" t="s">
        <v>149</v>
      </c>
      <c r="E39" s="117"/>
      <c r="F39" s="97"/>
      <c r="G39" s="97"/>
      <c r="H39" s="97"/>
      <c r="I39" s="97"/>
      <c r="J39" s="97"/>
      <c r="K39" s="97"/>
      <c r="L39" s="97" t="s">
        <v>145</v>
      </c>
      <c r="M39" s="97"/>
      <c r="N39" s="97"/>
      <c r="O39" s="97"/>
      <c r="P39" s="97"/>
      <c r="Q39" s="97"/>
      <c r="R39" s="97"/>
      <c r="S39" s="97"/>
      <c r="T39" s="236"/>
    </row>
    <row r="40" spans="1:20" ht="13.5" customHeight="1">
      <c r="A40" s="222"/>
      <c r="B40" s="112" t="s">
        <v>92</v>
      </c>
      <c r="C40" s="116"/>
      <c r="D40" s="114"/>
      <c r="E40" s="11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236"/>
    </row>
    <row r="41" spans="1:20" ht="13.5" customHeight="1">
      <c r="A41" s="222"/>
      <c r="B41" s="112"/>
      <c r="C41" s="116"/>
      <c r="D41" s="114"/>
      <c r="E41" s="11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236"/>
    </row>
    <row r="42" spans="1:20" ht="13.5" customHeight="1">
      <c r="A42" s="222"/>
      <c r="B42" s="112" t="s">
        <v>93</v>
      </c>
      <c r="C42" s="116"/>
      <c r="D42" s="114"/>
      <c r="E42" s="1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236"/>
    </row>
    <row r="43" spans="1:20" ht="13.5" customHeight="1">
      <c r="A43" s="222"/>
      <c r="B43" s="112"/>
      <c r="C43" s="116"/>
      <c r="D43" s="114" t="s">
        <v>146</v>
      </c>
      <c r="E43" s="117"/>
      <c r="F43" s="97" t="s">
        <v>145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36"/>
    </row>
    <row r="44" spans="1:20" ht="13.5" customHeight="1" thickBot="1">
      <c r="A44" s="222"/>
      <c r="B44" s="204"/>
      <c r="C44" s="205"/>
      <c r="D44" s="206"/>
      <c r="E44" s="207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39"/>
    </row>
    <row r="45" spans="1:20" ht="13.5" customHeight="1" thickTop="1">
      <c r="A45" s="223" t="s">
        <v>70</v>
      </c>
      <c r="B45" s="334" t="s">
        <v>71</v>
      </c>
      <c r="C45" s="334"/>
      <c r="D45" s="334"/>
      <c r="E45" s="208"/>
      <c r="F45" s="229" t="s">
        <v>74</v>
      </c>
      <c r="G45" s="229" t="s">
        <v>72</v>
      </c>
      <c r="H45" s="229" t="s">
        <v>72</v>
      </c>
      <c r="I45" s="229" t="s">
        <v>72</v>
      </c>
      <c r="J45" s="229" t="s">
        <v>72</v>
      </c>
      <c r="K45" s="229" t="s">
        <v>72</v>
      </c>
      <c r="L45" s="229" t="s">
        <v>73</v>
      </c>
      <c r="M45" s="229"/>
      <c r="N45" s="229"/>
      <c r="O45" s="229"/>
      <c r="P45" s="229"/>
      <c r="Q45" s="229"/>
      <c r="R45" s="229"/>
      <c r="S45" s="229"/>
      <c r="T45" s="240"/>
    </row>
    <row r="46" spans="1:20" ht="13.5" customHeight="1">
      <c r="A46" s="216"/>
      <c r="B46" s="322" t="s">
        <v>75</v>
      </c>
      <c r="C46" s="322"/>
      <c r="D46" s="322"/>
      <c r="E46" s="119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241"/>
    </row>
    <row r="47" spans="1:20" ht="13.5" customHeight="1">
      <c r="A47" s="216"/>
      <c r="B47" s="332" t="s">
        <v>78</v>
      </c>
      <c r="C47" s="332"/>
      <c r="D47" s="332"/>
      <c r="E47" s="120"/>
      <c r="F47" s="121">
        <v>39139</v>
      </c>
      <c r="G47" s="121">
        <v>39139</v>
      </c>
      <c r="H47" s="121">
        <v>39139</v>
      </c>
      <c r="I47" s="121">
        <v>39139</v>
      </c>
      <c r="J47" s="121">
        <v>39139</v>
      </c>
      <c r="K47" s="121">
        <v>39139</v>
      </c>
      <c r="L47" s="121">
        <v>39144</v>
      </c>
      <c r="M47" s="121"/>
      <c r="N47" s="121"/>
      <c r="O47" s="121"/>
      <c r="P47" s="121"/>
      <c r="Q47" s="121"/>
      <c r="R47" s="121"/>
      <c r="S47" s="121"/>
      <c r="T47" s="217"/>
    </row>
    <row r="48" spans="1:20" ht="11.25" thickBot="1">
      <c r="A48" s="218"/>
      <c r="B48" s="333" t="s">
        <v>79</v>
      </c>
      <c r="C48" s="333"/>
      <c r="D48" s="333"/>
      <c r="E48" s="219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1"/>
    </row>
    <row r="49" spans="1:4" ht="11.25" thickTop="1">
      <c r="A49" s="89"/>
      <c r="B49" s="85"/>
      <c r="C49" s="86"/>
      <c r="D49" s="85"/>
    </row>
  </sheetData>
  <mergeCells count="28">
    <mergeCell ref="B48:D48"/>
    <mergeCell ref="D20:E20"/>
    <mergeCell ref="B45:D45"/>
    <mergeCell ref="B46:D46"/>
    <mergeCell ref="B47:D47"/>
    <mergeCell ref="F6:K6"/>
    <mergeCell ref="L6:N6"/>
    <mergeCell ref="O6:T6"/>
    <mergeCell ref="A7:B7"/>
    <mergeCell ref="C7:E7"/>
    <mergeCell ref="F7:K7"/>
    <mergeCell ref="O7:T7"/>
    <mergeCell ref="A6:B6"/>
    <mergeCell ref="C6:E6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phoneticPr fontId="44"/>
  <dataValidations count="3">
    <dataValidation type="list" allowBlank="1" showInputMessage="1" showErrorMessage="1" sqref="F46:T46" xr:uid="{00000000-0002-0000-0700-000000000000}">
      <formula1>"P,F, "</formula1>
    </dataValidation>
    <dataValidation type="list" allowBlank="1" showInputMessage="1" showErrorMessage="1" sqref="F45:T45" xr:uid="{00000000-0002-0000-0700-000001000000}">
      <formula1>"N,A,B, "</formula1>
    </dataValidation>
    <dataValidation type="list" allowBlank="1" showInputMessage="1" showErrorMessage="1" sqref="F10:T44" xr:uid="{00000000-0002-0000-0700-000002000000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Guidleline</vt:lpstr>
      <vt:lpstr>Cover</vt:lpstr>
      <vt:lpstr>FunctionList</vt:lpstr>
      <vt:lpstr>Test Report</vt:lpstr>
      <vt:lpstr>CheckDate</vt:lpstr>
      <vt:lpstr>DayInMonth</vt:lpstr>
      <vt:lpstr>Function3</vt:lpstr>
      <vt:lpstr>Example</vt:lpstr>
      <vt:lpstr>CheckDate!Print_Area</vt:lpstr>
      <vt:lpstr>DayInMonth!Print_Area</vt:lpstr>
      <vt:lpstr>Function3!Print_Area</vt:lpstr>
      <vt:lpstr>FunctionList!Print_Area</vt:lpstr>
      <vt:lpstr>Guidleline!Print_Area</vt:lpstr>
      <vt:lpstr>'Test Report'!Print_Area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Tuấn Triển Phạm</cp:lastModifiedBy>
  <cp:lastPrinted>2008-03-12T04:05:49Z</cp:lastPrinted>
  <dcterms:created xsi:type="dcterms:W3CDTF">2007-10-09T09:39:48Z</dcterms:created>
  <dcterms:modified xsi:type="dcterms:W3CDTF">2026-10-05T07:22:48Z</dcterms:modified>
</cp:coreProperties>
</file>